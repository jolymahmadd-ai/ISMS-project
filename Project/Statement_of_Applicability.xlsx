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IMS\done\done\Statement of Applicability\"/>
    </mc:Choice>
  </mc:AlternateContent>
  <xr:revisionPtr revIDLastSave="0" documentId="13_ncr:1_{11C10DB2-FDC1-467D-B577-E8D192D9AEC7}" xr6:coauthVersionLast="47" xr6:coauthVersionMax="47" xr10:uidLastSave="{00000000-0000-0000-0000-000000000000}"/>
  <bookViews>
    <workbookView xWindow="-96" yWindow="-96" windowWidth="23232" windowHeight="12552" tabRatio="915" activeTab="2" xr2:uid="{00000000-000D-0000-FFFF-FFFF00000000}"/>
  </bookViews>
  <sheets>
    <sheet name="Version" sheetId="1" r:id="rId1"/>
    <sheet name="ISO27001 Annex A Applicability" sheetId="2" r:id="rId2"/>
    <sheet name="ISO27001 Annex A Dashboard" sheetId="3" r:id="rId3"/>
    <sheet name="ISO27001 Applicability Table" sheetId="4" state="hidden" r:id="rId4"/>
    <sheet name="ISO27001 Results Chart" sheetId="5" state="hidden" r:id="rId5"/>
    <sheet name="ISO27001 % Results Chart" sheetId="6" state="hidden" r:id="rId6"/>
    <sheet name="ISO27001 % Radar Chart" sheetId="7" state="hidden" r:id="rId7"/>
  </sheets>
  <definedNames>
    <definedName name="_xlnm.Print_Titles" localSheetId="1">'ISO27001 Annex A Applicability'!$12:$12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10" i="4"/>
  <c r="C18" i="3"/>
  <c r="D15" i="3"/>
  <c r="E121" i="2"/>
  <c r="F17" i="3" s="1"/>
  <c r="D121" i="2"/>
  <c r="D17" i="3" s="1"/>
  <c r="E83" i="2"/>
  <c r="F16" i="3" s="1"/>
  <c r="D83" i="2"/>
  <c r="D16" i="3" s="1"/>
  <c r="E65" i="2"/>
  <c r="F8" i="4" s="1"/>
  <c r="D65" i="2"/>
  <c r="D8" i="4" s="1"/>
  <c r="E53" i="2"/>
  <c r="F14" i="3" s="1"/>
  <c r="D53" i="2"/>
  <c r="D14" i="3" s="1"/>
  <c r="G14" i="3" l="1"/>
  <c r="E14" i="3"/>
  <c r="D18" i="3"/>
  <c r="F18" i="3"/>
  <c r="G17" i="3"/>
  <c r="E17" i="3"/>
  <c r="E8" i="4"/>
  <c r="G8" i="4"/>
  <c r="E16" i="3"/>
  <c r="G16" i="3"/>
  <c r="G15" i="3"/>
  <c r="G10" i="4"/>
  <c r="D9" i="4"/>
  <c r="F15" i="3"/>
  <c r="F9" i="4"/>
  <c r="E10" i="4"/>
  <c r="E15" i="3"/>
  <c r="F7" i="4"/>
  <c r="F10" i="4"/>
  <c r="D7" i="4"/>
  <c r="F11" i="4" l="1"/>
  <c r="D11" i="4"/>
  <c r="G7" i="4"/>
  <c r="G11" i="4" s="1"/>
  <c r="E7" i="4"/>
  <c r="E11" i="4" s="1"/>
  <c r="E18" i="3"/>
  <c r="G9" i="4"/>
  <c r="E9" i="4"/>
  <c r="G18" i="3"/>
</calcChain>
</file>

<file path=xl/sharedStrings.xml><?xml version="1.0" encoding="utf-8"?>
<sst xmlns="http://schemas.openxmlformats.org/spreadsheetml/2006/main" count="541" uniqueCount="322">
  <si>
    <t>معلومات الإصدار والوثيقة</t>
  </si>
  <si>
    <t>التصنيف الأمني: سري للاستخدام الداخلي</t>
  </si>
  <si>
    <t>رقم الإصدار: 1.0</t>
  </si>
  <si>
    <t>تاريخ الاعتماد: سبتمبر 2026</t>
  </si>
  <si>
    <t>الاعتماد: الإدارة التنفيذية العليا - بنك الآفاق الرقمية</t>
  </si>
  <si>
    <t>Terms used</t>
  </si>
  <si>
    <t>بيان تطبيق الضوابط (Statement of Applicability - SoA) وفق المواصفة ISO/IEC 27001:2022</t>
  </si>
  <si>
    <t>نظام إدارة أمن المعلومات - بنك الآفاق الرقمية</t>
  </si>
  <si>
    <t>ملاحظة: يتضمن هذا الجدول كافة ضوابط الملحق (Annex A) الـ 93 ومستوى تطبيقها المعتمد للبنك.</t>
  </si>
  <si>
    <t>المجال / القسم</t>
  </si>
  <si>
    <t>الضابط الرقابي (Control)</t>
  </si>
  <si>
    <t>هل الضابط منطبق؟</t>
  </si>
  <si>
    <t>هل الضابط مطبق؟</t>
  </si>
  <si>
    <t>مبرر التضمين أو الاستبعاد (Justification)</t>
  </si>
  <si>
    <t>ملاحظات وتفاصيل التطبيق وخطة العمل (Implementation Details)</t>
  </si>
  <si>
    <t>A.5 Organizational controls</t>
  </si>
  <si>
    <t>A.5.1 Policies for information security</t>
  </si>
  <si>
    <t>Yes</t>
  </si>
  <si>
    <t>No</t>
  </si>
  <si>
    <t>متطلب إلزامي لحوكمة أمن المعلومات والامتثال لإطار البنك المركزي السعودي (ساما).</t>
  </si>
  <si>
    <t>السياسة الحالية قديمة؛ يجري تحديثها واعتماد حزمة السياسات الجديدة لعام 2026.</t>
  </si>
  <si>
    <t>A.5.2 Information security roles and responsibilities</t>
  </si>
  <si>
    <t>تحديد المسؤوليات والمساءلة الإدارية والأمنية لمنع تداخل الاختصاصات.</t>
  </si>
  <si>
    <t>محددة رسمياً وتتضمن CISO وفرق العمليات الأمنية وإدارة تقنية المعلومات والمخاطر.</t>
  </si>
  <si>
    <t>A.5.3 Segregation of duties</t>
  </si>
  <si>
    <t>منع إساءة الاستخدام والاحتيال الداخلي في المعاملات البنكية والائتمانية.</t>
  </si>
  <si>
    <t>مطبقة بالفصل الإجرائي والتقني بين مطوري الأنظمة ومشغلي بيئة الإنتاج والصلاحيات المالية.</t>
  </si>
  <si>
    <t>A.5.4 Management responsibilities</t>
  </si>
  <si>
    <t>إلزام الإدارة التنفيذية بتطبيق وتوجيه سياسات أمن المعلومات ومتابعتها.</t>
  </si>
  <si>
    <t>يتم تطبيقها عبر المتابعة الدورية للرئيس التنفيذي ولجنة المخاطر وتقارير الأداء.</t>
  </si>
  <si>
    <t>A.5.5 Contact with authorities</t>
  </si>
  <si>
    <t>الالتزام بالإبلاغ الفوري عن الحوادث الجسيمة للجهات الرقابية (ساما، سدايا).</t>
  </si>
  <si>
    <t>قنوات تواصل معتمدة ومفعلة مع البنك المركزي وسدايا والجهات الأمنية المختصة.</t>
  </si>
  <si>
    <t>A.5.6 Contact with special interest groups</t>
  </si>
  <si>
    <t>مواكبة التهديدات السيبرانية المصرفية المستجدة وتبادل المعلومات المتخصصة.</t>
  </si>
  <si>
    <t>يوصى بالانضمام إلى مراكز مشاركة المعلومات المصرفية (FS-ISAC) والمنتديات الوطنية.</t>
  </si>
  <si>
    <t>A.5.7 Threat intelligence</t>
  </si>
  <si>
    <t>الرصد الاستباقي للتهديدات الموجهة للقطاع المالي (الفدية والتصيد الاحتيالي).</t>
  </si>
  <si>
    <t>عملية جمع وتحليل معلومات التهديدات غير منهجية حالياً؛ جاري التعاقد على منصة استخبارات تهديدات.</t>
  </si>
  <si>
    <t>A.5.8 Information security in project management</t>
  </si>
  <si>
    <t>ضمان تضمين متطلبات الأمان في المشاريع التقنية المصرفية مثل تطبيق آفاق بلس.</t>
  </si>
  <si>
    <t>تُدرج المتطلبات الأمنية في خطط مشاريع التطوير والتحول الرقمي بالبنك.</t>
  </si>
  <si>
    <t>A.5.9 Inventory of information and other associated assets</t>
  </si>
  <si>
    <t>حصر وتصنيف أصول المعلومات ومكونات البنية التحتية لحمايتها بفاعلية.</t>
  </si>
  <si>
    <t>يوجد سجل أصول تفصيلي يشمل الأصول المعلوماتية والبرمجية والمادية والأفراد.</t>
  </si>
  <si>
    <t>A.5.10 Acceptable use of information and other associated assets</t>
  </si>
  <si>
    <t>وضع قواعد واضحة للاستخدام المقبول للأجهزة والبريد ومنع السلوكيات الخطرة.</t>
  </si>
  <si>
    <t>توجد وثيقة عامة غير مفصلة ولا تمنع الاستخدام الشخصي ولا توجد آلية إقرار سنوي؛ جاري تحديثها.</t>
  </si>
  <si>
    <t>A.5.11 Return of assets</t>
  </si>
  <si>
    <t>حماية ممتلكات وأجهزة ومعلومات البنك عند انتهاء خدمة الموظفين أو تدويرهم.</t>
  </si>
  <si>
    <t>يتم تسليم العهد والأجهزة وبطاقات الدخول ضمن إجراءات إخلاء الطرف المعتمدة لدى الموارد البشرية.</t>
  </si>
  <si>
    <t>A.5.12 Classification of information</t>
  </si>
  <si>
    <t>تحديد مستوى الحماية والسرية المطلوب لكل نوع من البيانات والمعاملات.</t>
  </si>
  <si>
    <t>تطبيق سياسة تصنيف البيانات إلى: سري للغاية، سري، داخلي، وعام.</t>
  </si>
  <si>
    <t>A.5.13 Labelling of information</t>
  </si>
  <si>
    <t>منع تسريب البيانات وضمان التزام الموظفين والمستلمين بحساسية المستندات.</t>
  </si>
  <si>
    <t>وسم الوثائق والتقارير المصرفية الحساسة آلياً وتطبيق العلامات الرقمية.</t>
  </si>
  <si>
    <t>A.5.14 Information transfer</t>
  </si>
  <si>
    <t>تأمين نقل البيانات المالية والشخصية للعملاء والمراسلين الدوليين.</t>
  </si>
  <si>
    <t>تشفير قنوات النقل الإلكتروني والبريد واستخدام بروتوكولات مؤمنة وشبكة سويفت والمدفوعات الوطنية.</t>
  </si>
  <si>
    <t>A.5.15 Access control</t>
  </si>
  <si>
    <t>حماية الأنظمة المصرفية وقواعد البيانات من الوصول غير المصرح به.</t>
  </si>
  <si>
    <t>تطبيق نموذج التحكم بالوصول القائم على الدور (RBAC) ومبدأ الحاجة إلى المعرفة.</t>
  </si>
  <si>
    <t>A.5.16 Identity management</t>
  </si>
  <si>
    <t>إدارة الهويات الرقمية للموظفين والمتعاملين ومنع الحسابات المتروكة أو المشتركة.</t>
  </si>
  <si>
    <t>إدارة الحسابات مركزياً عبر Active Directory وتوثيق طلبات إنشاء وتعديل الحسابات.</t>
  </si>
  <si>
    <t>A.5.17 Authentication information</t>
  </si>
  <si>
    <t>ضمان التحقق القوي من هوية المستخدمين والمشرفين على الأنظمة الحساسة.</t>
  </si>
  <si>
    <t>تطبيق سياسة كلمات مرور معقدة، واستخدام البطاقات الذكية، ونظام RSA SecurID للمصادقة.</t>
  </si>
  <si>
    <t>A.5.18 Access rights</t>
  </si>
  <si>
    <t>منع استغلال الامتيازات وحماية السجلات وقواعد البيانات الحساسة من العبث.</t>
  </si>
  <si>
    <t>لوحظت صلاحيات موروثة لمجلدات HR دون مراجعة؛ جاري تطبيق مراجعة فصلية دورية لحقوق الوصول.</t>
  </si>
  <si>
    <t>A.5.19 Information security in supplier relationships</t>
  </si>
  <si>
    <t>إدارة المخاطر السيبرانية المترتبة على التعامل مع الموردين ومطوري البرمجيات.</t>
  </si>
  <si>
    <t>تطبيق العناية الواجبة وتقييم المخاطر الأمنية قبل التعاقد مع الشركات الخارجية.</t>
  </si>
  <si>
    <t>A.5.20 Addressing information security within supplier agreements</t>
  </si>
  <si>
    <t>إلزام الموردين بتطبيق الضوابط الأمنية وحماية سرية بيانات البنك.</t>
  </si>
  <si>
    <t>تضمين الشروط الأمنية واتفاقيات مستوى الخدمة (SLAs) وبنود السرية في عقود التوريد.</t>
  </si>
  <si>
    <t>A.5.21 Managing information security in the ICT supply chain</t>
  </si>
  <si>
    <t>حماية البنك من هجمات سلسلة التوريد واختراق البرمجيات والأنظمة الوسيطة.</t>
  </si>
  <si>
    <t>ضعف التحقق من مكونات البرمجيات مفتوحة المصدر؛ جاري تطبيق فحص أمني لمكتبات المطورين.</t>
  </si>
  <si>
    <t>A.5.22 Monitoring, review and change management of supplier services</t>
  </si>
  <si>
    <t>ضمان استمرار التزام مزودي الخدمات بمعايير الأمن وجودة الأداء التشغيلي.</t>
  </si>
  <si>
    <t>متابعة شهرية لمستويات الأداء ومراجعة تقارير الامتثال الخاصة بشركات الصيانة والتشغيل.</t>
  </si>
  <si>
    <t>A.5.23 Information security for use of cloud services</t>
  </si>
  <si>
    <t>تأمين استخدام الخدمات السحابية (AWS) وحماية بيئات التطوير والتحليلات.</t>
  </si>
  <si>
    <t>تم التعاقد مع AWS دون تقييم شامل للمخاطر وتغيب سياسة الحوسبة السحابية؛ جاري صياغتها وتفعيلها.</t>
  </si>
  <si>
    <t>A.5.24 Information security incident management planning and preparation</t>
  </si>
  <si>
    <t>الجاهزية والاستعداد للتعامل الفوري والمنهجي مع الحوادث السيبرانية واحتوائها.</t>
  </si>
  <si>
    <t>وجود فريق الاستجابة للحوادث وسياسة معتمدة لإدارة البلاغات والأحداث الأمنية.</t>
  </si>
  <si>
    <t>A.5.25 Assessment and decision on information security events</t>
  </si>
  <si>
    <t>فرز وتصنيف الأحداث الأمنية بدقة لتحديد الإجراءات المناسبة وسرعة التدخل.</t>
  </si>
  <si>
    <t>تصنيف الأحداث وفق مصفوفة التأثير وتحديد أولوية المعالجة والتصعيد للفرق المختصة.</t>
  </si>
  <si>
    <t>A.5.26 Response to information security incidents</t>
  </si>
  <si>
    <t>تقليل الأثر التشغيلي والمالي لأي هجوم أو اختراق وسرعة استعادة العمليات.</t>
  </si>
  <si>
    <t>إجراءات استجابة موثقة لمكافحة هجمات الفدية، التصيد الاحتيالي، وتعطل الخدمات.</t>
  </si>
  <si>
    <t>A.5.27 Learning from information security incidents</t>
  </si>
  <si>
    <t>منع تكرار الحوادث وسد الثغرات التشغيلية والإجرائية المكتشفة.</t>
  </si>
  <si>
    <t>لم توثق الدروس المستفادة من حادثة انقطاع الخدمة السابقة رسمياً؛ جاري فرض جلسات مراجعة بعد الحوادث.</t>
  </si>
  <si>
    <t>A.5.28 Collection of evidence</t>
  </si>
  <si>
    <t>جمع وحفظ الأدلة الرقمية وفق الاشتراطات القضائية لتحقيقات الجرائم المعلوماتية.</t>
  </si>
  <si>
    <t>توثيق مسارات الحيازة (Chain of Custody) والتحفظ على السجلات والأدلة الرقمية فور وقوع الحادث.</t>
  </si>
  <si>
    <t>A.5.29 Information security during disruption</t>
  </si>
  <si>
    <t>الحفاظ على سرية وسلامة وتوفر أمن المعلومات أثناء الأزمات وتوقف الخدمات.</t>
  </si>
  <si>
    <t>تضمين ضوابط أمن المعلومات ضمن خطة استمرارية الأعمال الشاملة المعتمدة للبنك.</t>
  </si>
  <si>
    <t>A.5.30 ICT readiness for business continuity</t>
  </si>
  <si>
    <t>ضمان جاهزية الأنظمة التقنية للعمل من مركز التعافي من الكوارث بجدة عند الطوارئ.</t>
  </si>
  <si>
    <t>توفر مركز بيانات بديل بجدة مزود ببيئة افتراضية ونسخ متماثلة واختبارات تبديل دورية.</t>
  </si>
  <si>
    <t>A.5.31 Legal, statutory, regulatory and contractual requirements</t>
  </si>
  <si>
    <t>تجنب العقوبات والغرامات وحماية البنك ومسؤوليه من المسؤولية القانونية.</t>
  </si>
  <si>
    <t>حصر وتوثيق متطلبات ساما، نظام حماية البيانات الشخصية، مكافحة الجرائم المعلوماتية، وPCI-DSS.</t>
  </si>
  <si>
    <t>A.5.32 Intellectual property rights</t>
  </si>
  <si>
    <t>منع استخدام برمجيات غير مرخصة وحماية الكود المصدري لتطبيقات البنك.</t>
  </si>
  <si>
    <t>عدم وضوح فحص التراخيص واستخدام مكتبات مفتوحة المصدر دون تدقيق؛ جاري تفعيل أداة تدقيق التراخيص.</t>
  </si>
  <si>
    <t>A.5.33 Protection of records</t>
  </si>
  <si>
    <t>حماية السجلات المالية والمحاسبية وسجلات التدقيق من التلف أو التعديل غير المشروع.</t>
  </si>
  <si>
    <t>حفظ وأرشفة السجلات وفق المدد النظامية المقررة من ساما مع التشفير ومنع الحذف المبكر.</t>
  </si>
  <si>
    <t>A.5.34 Privacy and protection of PII</t>
  </si>
  <si>
    <t>حماية خصوصية بيانات 500,000 عميل والامتثال الصارم لنظام PDPL الصادر عن سدايا.</t>
  </si>
  <si>
    <t>النظام مطبق جزئياً ولكن طلبات العملاء يدوية ولم يجرَ تقييم DPIA؛ جاري أتمتة الإجراءات.</t>
  </si>
  <si>
    <t>A.5.35 Independent review of information security</t>
  </si>
  <si>
    <t>التحقق المستقل من كفاءة وملاءمة تطبيق نظام إدارة أمن المعلومات وفق ISO 27001.</t>
  </si>
  <si>
    <t>المراجعات السابقة ركزت على الجوانب المالية فقط؛ تم جدولة تدقيق داخلي وخارجي مستقل متخصص لـ ISMS.</t>
  </si>
  <si>
    <t>A.5.36 Compliance with policies, rules and standards for information security</t>
  </si>
  <si>
    <t>التأكد من التزام الفرق الفنية والتشغيلية بتطبيق السياسات الأمنية بشكل مستمر.</t>
  </si>
  <si>
    <t>المراجعات السابقة عشوائية وغير موثقة؛ جاري تطبيق آلية تفتيش دورية وموثقة على الأنظمة.</t>
  </si>
  <si>
    <t>A.5.37 Documented operating procedures</t>
  </si>
  <si>
    <t>توحيد الممارسات التشغيلية ومنع الأخطاء الفردية كحذف قواعد جدار الحماية.</t>
  </si>
  <si>
    <t>وجود نقص في توثيق الإجراءات التشغيلية لتقنية المعلومات؛ جاري إعداد وتوثيق أدلة التشغيل القياسية.</t>
  </si>
  <si>
    <t>Totals:</t>
  </si>
  <si>
    <t>A.6 People controls</t>
  </si>
  <si>
    <t>A.6.1 Screening</t>
  </si>
  <si>
    <t>التحقق من نزاهة وملاءمة الموظفين والمقاولين قبل منحهم صلاحيات الوصول.</t>
  </si>
  <si>
    <t>إجراء مسح أمني وفحص السجلات الجنائية والائتمانية لجميع الموظفين قبل التعيين.</t>
  </si>
  <si>
    <t>A.6.2 Terms and conditions of employment</t>
  </si>
  <si>
    <t>إلزام العاملين قانونياً بالحفاظ على أمن وسرية المعلومات ومسؤولياتهم الوظيفية.</t>
  </si>
  <si>
    <t>تضمين شروط والتزامات أمن المعلومات وسياسات العمل في كافة عقود التوظيف.</t>
  </si>
  <si>
    <t>A.6.3 Information security awareness, education and training</t>
  </si>
  <si>
    <t>رفع الوعي الأمني وخفض معدل الوقوع في هجمات التصيد الاحتيالي (كان 25%).</t>
  </si>
  <si>
    <t>تم إجراء اختبار محاكاة أظهر ضعف التجاوب؛ جاري إطلاق برنامج تدريبي إلزامي وحملات دورية مكثفة.</t>
  </si>
  <si>
    <t>A.6.4 Disciplinary process</t>
  </si>
  <si>
    <t>مساءلة ومعاقبة من ينتهك سياسات وضوابط أمن المعلومات عمداً أو إهمالاً.</t>
  </si>
  <si>
    <t>تطبيق لائحة الجزاءات التأديبية المعتمدة بالبنك وإجراء التحقيقات الإدارية اللازمة.</t>
  </si>
  <si>
    <t>A.6.5 Responsibilities after termination or change of employment</t>
  </si>
  <si>
    <t>منع تسريب البيانات واسترداد كافة العهد والأجهزة عند إنهاء أو تغيير الوظيفة.</t>
  </si>
  <si>
    <t>إلغاء فوري لحسابات الموظف المستقيل وسحب الأجهزة والبطاقات والتذكير بالتزامات السرية.</t>
  </si>
  <si>
    <t>A.6.6 Confidentiality or non-disclosure agreements</t>
  </si>
  <si>
    <t>حماية سرية البيانات المصرفية والمالية ومنع إفشائها لأطراف خارجية.</t>
  </si>
  <si>
    <t>توقيع اتفاقيات عدم إفصاح (NDA) إلزامية على جميع العاملين والمتعاقدين والموردين.</t>
  </si>
  <si>
    <t>A.6.7 Remote working</t>
  </si>
  <si>
    <t>تأمين العمل عن بُعد وحماية الاتصالات المتنقلة من الاختراق أو التنصت.</t>
  </si>
  <si>
    <t>استخدام أجهزة الشركة المشفرة حصراً والاتصال عبر VPN مؤمن مع مصادقة متعددة العوامل MFA.</t>
  </si>
  <si>
    <t>A.6.8 Information security event reporting</t>
  </si>
  <si>
    <t>سرعة الإبلاغ عن الأحداث والمخاوف الأمنية لتمكين المعالجة الفورية.</t>
  </si>
  <si>
    <t>أبلغ 8% فقط في الاختبار الأخير؛ جاري تفعيل زر الإبلاغ بنقرة واحدة في البريد وتدريب الموظفين عليه.</t>
  </si>
  <si>
    <t>A.7 Physical controls</t>
  </si>
  <si>
    <t>A.7.1 Physical security perimeters</t>
  </si>
  <si>
    <t>حماية مبنى المقر الرئيسي والفروع من محاولات التسلل المادي غير المصرح.</t>
  </si>
  <si>
    <t>أسوار أمنية، بوابات مراقبة، وحراسات أمنية مشددة على مدار الساعة في كافة المواقع.</t>
  </si>
  <si>
    <t>A.7.2 Physical entry</t>
  </si>
  <si>
    <t>تقييد الدخول إلى المقرات ومراكز البيانات الحساسة للأشخاص المصرح لهم.</t>
  </si>
  <si>
    <t>بوابات إلكترونية تفتح بالبطاقات الذكية والمصادقة البيومترية وسجلات دخول رقمية للزوار.</t>
  </si>
  <si>
    <t>A.7.3 Securing offices, rooms and facilities</t>
  </si>
  <si>
    <t>حماية المكاتب وغرف العمليات المصرفية ومراكز التحكم (SOC) من الدخول العشوائي.</t>
  </si>
  <si>
    <t>أبواب مقفلة إلكترونياً، ونطاقات وصول مفصولة بحسب الصلاحيات الوظيفية في كل طابق.</t>
  </si>
  <si>
    <t>A.7.4 Physical security monitoring</t>
  </si>
  <si>
    <t>الرصد المستمر للمواقع والمرافق وكشف أي تحركات أو اختراقات مشبوهة.</t>
  </si>
  <si>
    <t>شبكة كاميرات مراقبة (CCTV) عالية الدقة تغطي كافة المداخل ومراكز البيانات وأجهزة الصراف.</t>
  </si>
  <si>
    <t>A.7.5 Protecting against physical and environmental threats</t>
  </si>
  <si>
    <t>حماية البنية التحتية من أخطار الحريق وارتفاع الحرارة وانقطاع الطاقة.</t>
  </si>
  <si>
    <t>أنظمة إخماد حريق بالغاز النظيف، أجهزة تكييف دقيقة، وعوازل بيئية في مراكز البيانات.</t>
  </si>
  <si>
    <t>A.7.6 Working in secure areas</t>
  </si>
  <si>
    <t>حماية أمن وسرية العمليات الحساسة داخل مركز البيانات الرئيسي والـ SOC.</t>
  </si>
  <si>
    <t>حظر دخول الأجهزة المحمولة غير المصرح بها والكاميرات وإلزام المرافقة الأمنية للزوار الفنيين.</t>
  </si>
  <si>
    <t>A.7.7 Clear desk and clear screen</t>
  </si>
  <si>
    <t>منع التلصص أو سرقة المستندات والبيانات المصرفية المتروكة على المكاتب والشاشات.</t>
  </si>
  <si>
    <t>تطبيق سياسة المكتب النظيف وإقفال الشاشات تلقائياً عند مغادرة الموظف لمكتبه.</t>
  </si>
  <si>
    <t>A.7.8 Equipment siting and protection</t>
  </si>
  <si>
    <t>حماية أجهزة الخوادم والراوترات من التلف المادي أو العبث التشغيلي.</t>
  </si>
  <si>
    <t>تركيب الأجهزة داخل كبائن خوادم مقفلة ومؤمنة في بيئات مخصصة ومهيأة في الفروع والمقر.</t>
  </si>
  <si>
    <t>A.7.9 Security of assets off-premises</t>
  </si>
  <si>
    <t>معالجة حادثة فقدان حاسوب مدير التسويق غير المشفر في رحلة عمل خارج المملكة.</t>
  </si>
  <si>
    <t>تطبيق التشفير الكامل للأقراص وسياسة أمن الأجهزة المتنقلة وحظر تخزين قواعد البيانات محلياً.</t>
  </si>
  <si>
    <t>A.7.10 Storage media</t>
  </si>
  <si>
    <t>حماية وسائط التخزين والأشرطة الممغنطة من السرقة أو التلف أو الوصول غير المصرح.</t>
  </si>
  <si>
    <t>حفظ أشرطة النسخ الاحتياطي في خزائن مصفحة ومقاومة للحريق ونقلها عبر قنوات أمنية معتمدة.</t>
  </si>
  <si>
    <t>A.7.11 Supporting utilities</t>
  </si>
  <si>
    <t>ضمان استمرار تشغيل الأنظمة المصرفية والشبكات دون انقطاع خدمات الكهرباء والمرافق.</t>
  </si>
  <si>
    <t>توفير أنظمة تزويد طاقة غير منقطعة (UPS) ومولدات ديزل احتياطية وخطوط مياه وتبريد مزدوجة.</t>
  </si>
  <si>
    <t>A.7.12 Cabling security</t>
  </si>
  <si>
    <t>منع التنصت أو التلاعب أو القطع لشبكات الاتصالات ونقل البيانات المصرفية.</t>
  </si>
  <si>
    <t>تمديد كابلات الشبكة داخل أنابيب ومسارات معزولة ومحمية تحت الأرض وداخل الجدران.</t>
  </si>
  <si>
    <t>A.7.13 Equipment maintenance</t>
  </si>
  <si>
    <t>ضمان عمل أجهزة الخوادم ومكونات الشبكة وأجهزة الصراف الآلي بكفاءة وأمان.</t>
  </si>
  <si>
    <t>إجراء الصيانة الدورية الوقائية بواسطة فرق معتمدة وتوثيق كافة أعمال الصيانة والإصلاح.</t>
  </si>
  <si>
    <t>A.7.14 Secure disposal or re-use of equipment</t>
  </si>
  <si>
    <t>منع استرجاع البيانات الحساسة أو أسرار البنك عند التخلص من الأجهزة القديمة.</t>
  </si>
  <si>
    <t>غياب إجراءات الإتلاف المعتمدة؛ جاري التعاقد مع جهة مرخصة للتطهير المغناطيسي والتدمير الآمن.</t>
  </si>
  <si>
    <t>A.8 Technological controls</t>
  </si>
  <si>
    <t>A.8.1 User endpoint devices</t>
  </si>
  <si>
    <t>حماية أكثر من 2,500 حاسوب وهاتف مؤسسي من البرمجيات الخبيثة والاختراق.</t>
  </si>
  <si>
    <t>إلزامية التشفير الكامل للأقراص (BitLocker)، تفعيل EDR، ومنع منافذ USB لغير المصرحين.</t>
  </si>
  <si>
    <t>A.8.2 Privileged access rights</t>
  </si>
  <si>
    <t>معالجة إدارة كلمات مرور المسؤولين يدوياً ومشاركتها بين مهندسي الشبكات.</t>
  </si>
  <si>
    <t>غياب نظام PAM؛ تم إدراج مشروع تطبيق نظام إدارة الوصول المميز (CyberArk/PAM) وإيقاف المشاركة.</t>
  </si>
  <si>
    <t>A.8.3 Information access restriction</t>
  </si>
  <si>
    <t>معالجة حادثة الوصول غير المصرح لمجلدات HR وحماية قواعد البيانات المالية.</t>
  </si>
  <si>
    <t>إعادة ضبط أذونات المجلدات وقواعد البيانات وتطبيق مراجعة فصلية للصلاحيات التقنية.</t>
  </si>
  <si>
    <t>A.8.4 Access to source code</t>
  </si>
  <si>
    <t>حماية الكود المصدري لتطبيق آفاق بلس والأنظمة الداخلية من التسريب أو التعديل.</t>
  </si>
  <si>
    <t>استضافة الأكواد في GitLab Enterprise مع تقييد الوصول وتفعيل التحقق الثنائي والمراجعة الصارمة.</t>
  </si>
  <si>
    <t>A.8.5 Secure authentication</t>
  </si>
  <si>
    <t>منع انتحال الهوية وتأمين الدخول للأنظمة المصرفية الحساسة والتطبيقات الرقمية.</t>
  </si>
  <si>
    <t>تطبيق المصادقة متعددة العوامل (MFA) عبر RSA SecurID والرسائل المشفرة للعملاء والموظفين.</t>
  </si>
  <si>
    <t>A.8.6 Capacity management</t>
  </si>
  <si>
    <t>تفادي بطء أو تعطل الخدمات والتطبيقات المصرفية في أوقات الذروة وصرف الرواتب.</t>
  </si>
  <si>
    <t>مراقبة سعة المعالجات والذاكرة والتخزين دورياً وتوسيع الخوادم الافتراضية عبر VMware.</t>
  </si>
  <si>
    <t>A.8.7 Protection against malware</t>
  </si>
  <si>
    <t>حماية الخوادم والطرفيات والبوابات الإلكترونية من هجمات الفدية والبرمجيات الضارة.</t>
  </si>
  <si>
    <t>نشر حلول Trend Micro المحدثة وبوابات البريد Cisco Email Security وفحص الروابط والملفات.</t>
  </si>
  <si>
    <t>A.8.8 Management of technical vulnerabilities</t>
  </si>
  <si>
    <t>معالجة 3 ثغرات عالية في تطبيق آفاق بلس و7 ثغرات متوسطة دون تأخير.</t>
  </si>
  <si>
    <t>إغلاق الثغرات المكتشفة وتطبيق فحص دوري عبر منصة Qualys وفرض معالجة الثغرات الحرجة خلال 14 يوماً.</t>
  </si>
  <si>
    <t>A.8.9 Configuration management</t>
  </si>
  <si>
    <t>منع الأخطاء البشرية وحادثة حذف قواعد جدار الحماية وتوقف الخدمات 3 ساعات.</t>
  </si>
  <si>
    <t>غياب المعايير الموحدة؛ جاري اعتماد خطوط التهيئة المرجعية (Baselines) والمراجعة الثنائية للتغيير.</t>
  </si>
  <si>
    <t>A.8.10 Information deletion</t>
  </si>
  <si>
    <t>الامتثال لمتطلبات سدايا بحذف البيانات الشخصية تلقائياً عند انتهاء الغرض منها.</t>
  </si>
  <si>
    <t>غياب آلية الحذف الآمن في قواعد البيانات والسحابة؛ جاري تطوير سياسة وأتمتة إجراءات الإتلاف.</t>
  </si>
  <si>
    <t>A.8.11 Data masking</t>
  </si>
  <si>
    <t>حماية بيانات بطاقات العملاء والحسابات ومنع ظهورها للمطورين في بيئات الاختبار.</t>
  </si>
  <si>
    <t>استخدام بيانات حقيقية في بيئات الفحص سابقاً؛ جاري تطبيق أدوات تقنيع وتشفير البيانات (Data Masking).</t>
  </si>
  <si>
    <t>A.8.12 Data leakage prevention</t>
  </si>
  <si>
    <t>منع تسريب بيانات 500,000 عميل مصرفية وبيانات الرواتب خارج شبكة البنك.</t>
  </si>
  <si>
    <t>غياب نظام DLP متكامل؛ جاري تفعيل نظام منع تسرب البيانات على البريد والطرفيات وقنوات الويب.</t>
  </si>
  <si>
    <t>A.8.13 Information backup</t>
  </si>
  <si>
    <t>ضمان استرجاع الأنظمة والبيانات المصرفية بالكامل في حال وقوع كارثة أو هجوم فدية.</t>
  </si>
  <si>
    <t>نسخ احتياطي يومي آلي عبر Veritas NetBackup مع حفظ نسخة مشفرة بمركز جدة واختبار الاسترجاع.</t>
  </si>
  <si>
    <t>A.8.14 Redundancy of information processing facilities</t>
  </si>
  <si>
    <t>تأمين توفر الخدمات المصرفية ونظام المدفوعات الفورية على مدار الساعة 24/7.</t>
  </si>
  <si>
    <t>بنية تحتية مكررة عالية التوفر (HA Clusters) وتكرار جغرافي فوري بين مركز الرياض وجدة.</t>
  </si>
  <si>
    <t>A.8.15 Logging</t>
  </si>
  <si>
    <t>تسجيل وتتبع كافة العمليات والأنشطة الرقمية لكشف الاختراقات والتحقيق فيها.</t>
  </si>
  <si>
    <t>توجد خوادم Syslog ولكن لا يوجد نظام SIEM مركزي والتحليل يدوي؛ جاري نشر نظام SIEM متكامل.</t>
  </si>
  <si>
    <t>A.8.16 Monitoring activities</t>
  </si>
  <si>
    <t>الكشف المبكر والاستباقي عن الهجمات والأنشطة المشبوهة والاحتيالية.</t>
  </si>
  <si>
    <t>الاعتماد على المراجعة اليدوية؛ جاري ربط السجلات بنظام مراقبة آلي وربطه مع مركز الـ SOC.</t>
  </si>
  <si>
    <t>A.8.17 Clock synchronization</t>
  </si>
  <si>
    <t>معالجة الفارق الزمني (7 دقائق) الذي صعّب التحقيق في حوادث أمنية سابقة.</t>
  </si>
  <si>
    <t>عدم مزامنة الخوادم؛ جاري إلزام ربط كافة الخوادم وأجهزة الشبكة وجدران الحماية بخادم NTP موحد.</t>
  </si>
  <si>
    <t>A.8.18 Use of privileged utility programs</t>
  </si>
  <si>
    <t>منع استخدام برامج التنصت أو استخراج كلمات المرور على أجهزة وخوادم البنك.</t>
  </si>
  <si>
    <t>إمكانية تثبيت Wireshark؛ جاري تقييد وحظر استخدام الأدوات المساعدة وحصرها بالمصرح لهم.</t>
  </si>
  <si>
    <t>A.8.19 Installation of software on operational systems</t>
  </si>
  <si>
    <t>منع تثبيت البرمجيات غير المصرح بها أو الضارة على بيئات التشغيل الحساسة.</t>
  </si>
  <si>
    <t>غياب القوائم البيضاء؛ جاري حظر صلاحيات التثبيت للمستخدمين وتطبيق سياسة القوائم المصرح بها.</t>
  </si>
  <si>
    <t>A.8.20 Networks security</t>
  </si>
  <si>
    <t>حماية الاتصالات المصرفية الداخلية والخارجية والروابط مع الشبكة الوطنية وساما.</t>
  </si>
  <si>
    <t>نشر جدران نارية Palo Alto، مبدلات Cisco، وتشفير خطوط الاتصال واستخدام أجهزة توجيه آمنة.</t>
  </si>
  <si>
    <t>A.8.21 Security of network services</t>
  </si>
  <si>
    <t>حماية الخدمات الأساسية مثل DNS و DHCP والتأكد من إعدادات التشفير لـ SSL/TLS.</t>
  </si>
  <si>
    <t>لوحظ تفعيل بروتوكولات قديمة (TLS 1.0/1.1)؛ جاري إيقافها وتدقيق خدمات الشبكة وتأمينها.</t>
  </si>
  <si>
    <t>A.8.22 Segregation of networks</t>
  </si>
  <si>
    <t>منع انتقال الهجمات السيبرانية بين أجهزة الفروع، وأنظمة ATM، ومراكز البيانات.</t>
  </si>
  <si>
    <t>فصل وعزل مكونات الشبكة إلى نطاقات VLANs معزولة واستخدام جدران نارية بين البيئات.</t>
  </si>
  <si>
    <t>A.8.23 Web filtering</t>
  </si>
  <si>
    <t>حماية موظفي البنك من الوصول إلى المواقع المشبوهة أو الضارة أو الخبيثة.</t>
  </si>
  <si>
    <t>تفعيل مرشحات الويب وحظر فئات المواقع غير المصرح بها عبر أجهزة Palo Alto وFortiWeb.</t>
  </si>
  <si>
    <t>A.8.24 Use of cryptography</t>
  </si>
  <si>
    <t>حماية سرية وسلامة البيانات ومنع تكرار حادثة انتهاء صلاحية شهادة SSL لموقع البنك.</t>
  </si>
  <si>
    <t>عدم تشفير أقراص الحواسيب وانتهاء شهادة SSL سابقاً؛ جاري أتمتة التجديد وإلزام التشفير الكامل.</t>
  </si>
  <si>
    <t>A.8.25 Secure development life cycle</t>
  </si>
  <si>
    <t>ضمان خلو تطبيقات البنك الرقمية (آفاق بلس) من الثغرات الأمنية خلال تطويرها.</t>
  </si>
  <si>
    <t>غياب منهجية التطوير الآمن؛ جاري دمج بوابات الفحص الأمني (SAST/DAST) في دورة حياة التطوير.</t>
  </si>
  <si>
    <t>A.8.26 Application security requirements</t>
  </si>
  <si>
    <t>تحديد معايير الأمان الإلزامية للتطبيقات المصرفية ومصادقة العمليات المالية.</t>
  </si>
  <si>
    <t>تحديد متطلبات الأمان والتكامل مع أنظمة كشف الاحتيال والمصادقة المزدوجة قبل إطلاق التطبيقات.</t>
  </si>
  <si>
    <t>A.8.27 Secure system architecture and engineering principles</t>
  </si>
  <si>
    <t>بناء بيئات رقمية حصينة قادرة على الصمود ومواجهة الاختراقات المعقدة.</t>
  </si>
  <si>
    <t>تطبيق مبادئ الدفاع في العمق وتعدد الطبقات الهندسية في تصميم البنية التحتية والتطبيقات.</t>
  </si>
  <si>
    <t>A.8.28 Secure coding</t>
  </si>
  <si>
    <t>معالجة ثغرات حقن SQL والثغرات البرمجية في تطبيق آفاق بلس ومنصة آفاق نت.</t>
  </si>
  <si>
    <t>تدريب مطوري البنك (25 مطوراً) على قواعد OWASP واستخدام فحص الأكواد التلقائي قبل الاعتماد.</t>
  </si>
  <si>
    <t>A.8.29 Security testing in development and acceptance</t>
  </si>
  <si>
    <t>التحقق الصارم من سلامة البرمجيات والتطبيقات ومقاومتها للاختراق قبل النشر.</t>
  </si>
  <si>
    <t>تمت معالجة ثغرتين فقط وتُركت ثغرات أخرى؛ جاري إلزام اختبارات الاختراق الشاملة قبل أي طرح.</t>
  </si>
  <si>
    <t>A.8.30 Outsourced development</t>
  </si>
  <si>
    <t>ضبط جودة وأمان البرمجيات المطورة عبر شركات خارجية متعاقد معها.</t>
  </si>
  <si>
    <t>إلزام الشركة المطورة لشاشات آفاق بلس بالضوابط الأمنية وحق البنك في فحص ومراجعة الكود.</t>
  </si>
  <si>
    <t>A.8.31 Separation of development, test and production environments</t>
  </si>
  <si>
    <t>منع انتقال الأخطاء البرمجية إلى بيئة الإنتاج والحفاظ على استقرار العمليات.</t>
  </si>
  <si>
    <t>البيئات مفصولة افتراضياً لكن يتم استخدام بيانات حقيقية فيها؛ جاري العزل التام ومحاكاة البيانات.</t>
  </si>
  <si>
    <t>A.8.32 Change management</t>
  </si>
  <si>
    <t>منع التغييرات العشوائية غير المدروسة مثل خطأ تعديل جدار الحماية الذي عطل الخدمة.</t>
  </si>
  <si>
    <t>تفعيل لجنة مراجعة التغييرات الفنية (CAB) وإلزام المراجعة الثنائية ووجود خطة تراجع موثقة.</t>
  </si>
  <si>
    <t>A.8.33 Test information</t>
  </si>
  <si>
    <t>حماية بيانات ومعلومات العملاء الحقيقية من الاستخدام أو التسرب أثناء الاختبار.</t>
  </si>
  <si>
    <t>استخدام بيانات عملاء حقيقية سابقاً؛ جاري حظر استخدامها وإلزام توليد بيانات اختبار وهمية.</t>
  </si>
  <si>
    <t>A.8.34 Protection of information systems during audit testing</t>
  </si>
  <si>
    <t>منع تعطل الأنظمة التشغيلية المصرفية الحية أثناء إجراء فحوصات وتدقيقات الأمان.</t>
  </si>
  <si>
    <t>جدولة اختبارات الاختراق والتدقيق خارج أوقات العمل الرسمية وفي بيئات محاكية وتحت إشراف CISO.</t>
  </si>
  <si>
    <t>ISO/IEC 27001 Statement of Applicability dashboard</t>
  </si>
  <si>
    <t>To refresh chart data, click on “Refresh All” on the Data ribbon.</t>
  </si>
  <si>
    <t>Statement of applicability results</t>
  </si>
  <si>
    <t>AREA OF STANDARD</t>
  </si>
  <si>
    <t>NO OF CONTROLS</t>
  </si>
  <si>
    <t>APPLICABLE CONTROLS</t>
  </si>
  <si>
    <t>% CONTROLS APPLICABLE</t>
  </si>
  <si>
    <t>CONTROLS IMPLEMENTED</t>
  </si>
  <si>
    <t>% APP CONTROLS IMPLEMENTED</t>
  </si>
  <si>
    <t>ISO/IEC 27001 Annex A controls percentage of controls applicable and implemented radar chart</t>
  </si>
  <si>
    <t>Total</t>
  </si>
  <si>
    <t>ISO/IEC 27001 Annex A controls number of controls applicable and implemented</t>
  </si>
  <si>
    <t>ISO/IEC 27001 Annex A controls percentage of controls applicable and implemented</t>
  </si>
  <si>
    <t>ISO/IEC 27001 Statement of Applicability results</t>
  </si>
  <si>
    <t>ISO/IEC 27001 Annex A Controls Number of Controls Applicable and Implemented</t>
  </si>
  <si>
    <t xml:space="preserve">APPLICABLE CONTROLS </t>
  </si>
  <si>
    <t xml:space="preserve">CONTROLS IMPLEMENTED </t>
  </si>
  <si>
    <t>ISO/IEC 27001 Annex A Controls Percentage of Controls Applicable and Implemented</t>
  </si>
  <si>
    <t xml:space="preserve">% APP CONTROLS IMPLEMENTED </t>
  </si>
  <si>
    <t xml:space="preserve">% CONTROLS APPLICABLE </t>
  </si>
  <si>
    <t>ISO/IEC 27001 Annex A Controls Percentage of Controls Applicable and Implemented Radar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</si>
</sst>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444444"/>
      <name val="Arial"/>
      <family val="2"/>
      <scheme val="minor"/>
    </font>
    <font>
      <b/>
      <sz val="11"/>
      <color rgb="FF444444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rgb="FF444444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rgb="FF444444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2"/>
      <color rgb="FF44444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9" fontId="8" fillId="0" borderId="0"/>
  </cellStyleXfs>
  <cellXfs count="59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 applyProtection="1">
      <alignment horizontal="center" vertical="top"/>
      <protection locked="0"/>
    </xf>
    <xf numFmtId="0" fontId="4" fillId="3" borderId="0" xfId="0" applyFont="1" applyFill="1" applyAlignment="1">
      <alignment horizontal="right" vertical="top" wrapText="1"/>
    </xf>
    <xf numFmtId="0" fontId="4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9" fontId="0" fillId="0" borderId="0" xfId="0" applyNumberForma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9" fontId="0" fillId="0" borderId="0" xfId="1" applyFont="1" applyAlignment="1">
      <alignment horizontal="center" vertical="top" wrapText="1"/>
    </xf>
    <xf numFmtId="9" fontId="5" fillId="0" borderId="0" xfId="0" applyNumberFormat="1" applyFont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 wrapText="1"/>
    </xf>
    <xf numFmtId="9" fontId="4" fillId="0" borderId="0" xfId="0" applyNumberFormat="1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9" fontId="0" fillId="0" borderId="0" xfId="0" applyNumberFormat="1" applyAlignment="1">
      <alignment horizontal="center" vertical="top" wrapText="1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2" fillId="2" borderId="0" xfId="0" applyFont="1" applyFill="1" applyAlignment="1">
      <alignment horizontal="left" vertical="top" readingOrder="1"/>
    </xf>
    <xf numFmtId="0" fontId="0" fillId="0" borderId="0" xfId="0" applyAlignment="1">
      <alignment wrapText="1"/>
    </xf>
    <xf numFmtId="0" fontId="1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9" fontId="3" fillId="2" borderId="0" xfId="0" applyNumberFormat="1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6" fillId="0" borderId="0" xfId="0" applyFont="1"/>
    <xf numFmtId="0" fontId="13" fillId="0" borderId="0" xfId="0" applyFont="1" applyAlignment="1">
      <alignment vertical="top"/>
    </xf>
    <xf numFmtId="0" fontId="10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2" xr9:uid="{00000000-0011-0000-FFFF-FFFF00000000}">
      <tableStyleElement type="wholeTable" dxfId="89"/>
      <tableStyleElement type="headerRow" dxfId="88"/>
    </tableStyle>
    <tableStyle name="CertiKit table style" pivot="0" count="4" xr9:uid="{00000000-0011-0000-FFFF-FFFF01000000}">
      <tableStyleElement type="wholeTable" dxfId="87"/>
      <tableStyleElement type="headerRow" dxfId="86"/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[Statement_of_Applicability.xlsx]ISO27001 Results Chart!ISO27001ApplicabilityTableResults</c:name>
    <c:fmtId val="2"/>
  </c:pivotSource>
  <c:chart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'ISO27001 Results Chart'!$C$6</c:f>
              <c:strCache>
                <c:ptCount val="1"/>
                <c:pt idx="0">
                  <c:v>APPLICABLE CONTROLS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Chart'!$C$7:$C$10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5-4AB4-8031-E57BAAF2E745}"/>
            </c:ext>
          </c:extLst>
        </c:ser>
        <c:ser>
          <c:idx val="1"/>
          <c:order val="1"/>
          <c:tx>
            <c:strRef>
              <c:f>'ISO27001 Results Chart'!$D$6</c:f>
              <c:strCache>
                <c:ptCount val="1"/>
                <c:pt idx="0">
                  <c:v>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Chart'!$D$7:$D$10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5-4AB4-8031-E57BAAF2E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1313755320"/>
        <c:axId val="1313755976"/>
      </c:barChart>
      <c:catAx>
        <c:axId val="1313755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976"/>
        <c:crosses val="autoZero"/>
        <c:auto val="1"/>
        <c:lblAlgn val="ctr"/>
        <c:lblOffset val="100"/>
        <c:noMultiLvlLbl val="0"/>
      </c:catAx>
      <c:valAx>
        <c:axId val="13137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32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[Statement_of_Applicability.xlsx]ISO27001 % Radar Chart!ISO27001%RadarPivot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2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</c:pivotFmt>
      <c:pivotFmt>
        <c:idx val="7"/>
        <c:spPr>
          <a:ln>
            <a:prstDash val="solid"/>
          </a:ln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'ISO27001 % Radar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2E-47E6-A066-93AEBE4AFB07}"/>
              </c:ext>
            </c:extLst>
          </c:dPt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E-47E6-A066-93AEBE4AFB07}"/>
            </c:ext>
          </c:extLst>
        </c:ser>
        <c:ser>
          <c:idx val="1"/>
          <c:order val="1"/>
          <c:tx>
            <c:strRef>
              <c:f>'ISO27001 % Radar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E-47E6-A066-93AEBE4AF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042832"/>
        <c:axId val="1224050704"/>
      </c:radarChart>
      <c:catAx>
        <c:axId val="1224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50704"/>
        <c:crosses val="autoZero"/>
        <c:auto val="1"/>
        <c:lblAlgn val="ctr"/>
        <c:lblOffset val="100"/>
        <c:noMultiLvlLbl val="0"/>
      </c:catAx>
      <c:valAx>
        <c:axId val="12240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2832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[Statement_of_Applicability.xlsx]ISO27001 % Results Chart!ISO27001%ResultsChart</c:name>
    <c:fmtId val="2"/>
  </c:pivotSource>
  <c:chart>
    <c:autoTitleDeleted val="0"/>
    <c:pivotFmts>
      <c:pivotFmt>
        <c:idx val="0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87967557413172E-2"/>
          <c:y val="0.1462151846403815"/>
          <c:w val="0.90582570922884864"/>
          <c:h val="0.51356465057252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'ISO27001 % Results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1-45BA-AE6D-0FDCF89DB2EA}"/>
            </c:ext>
          </c:extLst>
        </c:ser>
        <c:ser>
          <c:idx val="1"/>
          <c:order val="1"/>
          <c:tx>
            <c:strRef>
              <c:f>'ISO27001 % Results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1-45BA-AE6D-0FDCF89DB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566447928"/>
        <c:axId val="566439400"/>
      </c:barChart>
      <c:catAx>
        <c:axId val="566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9400"/>
        <c:crosses val="autoZero"/>
        <c:auto val="1"/>
        <c:lblAlgn val="ctr"/>
        <c:lblOffset val="100"/>
        <c:noMultiLvlLbl val="0"/>
      </c:catAx>
      <c:valAx>
        <c:axId val="566439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4792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60800</xdr:colOff>
      <xdr:row>5</xdr:row>
      <xdr:rowOff>186465</xdr:rowOff>
    </xdr:to>
    <xdr:pic>
      <xdr:nvPicPr>
        <xdr:cNvPr id="2" name="Picture 1" descr="Auto Replac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190500"/>
          <a:ext cx="2527775" cy="9579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190499</xdr:rowOff>
    </xdr:from>
    <xdr:to>
      <xdr:col>6</xdr:col>
      <xdr:colOff>1238250</xdr:colOff>
      <xdr:row>55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14</xdr:row>
      <xdr:rowOff>0</xdr:rowOff>
    </xdr:from>
    <xdr:to>
      <xdr:col>23</xdr:col>
      <xdr:colOff>600075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26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4746.477841782413" missingItemsLimit="0" createdVersion="6" refreshedVersion="8" minRefreshableVersion="3" recordCount="4" xr:uid="{00000000-000A-0000-FFFF-FFFF14000000}">
  <cacheSource type="worksheet">
    <worksheetSource name="ISO27001ApplicabilityTableResults"/>
  </cacheSource>
  <cacheFields count="6">
    <cacheField name="AREA OF STANDARD" numFmtId="0">
      <sharedItems count="4">
        <s v="A.5 Organizational controls"/>
        <s v="A.6 People controls"/>
        <s v="A.7 Physical controls"/>
        <s v="A.8 Technological controls"/>
      </sharedItems>
    </cacheField>
    <cacheField name="NO OF CONTROLS" numFmtId="0">
      <sharedItems containsSemiMixedTypes="0" containsString="0" containsNumber="1" containsInteger="1" minValue="8" maxValue="37" count="4">
        <n v="37"/>
        <n v="8"/>
        <n v="14"/>
        <n v="34"/>
      </sharedItems>
    </cacheField>
    <cacheField name="APPLICABLE CONTROLS" numFmtId="0">
      <sharedItems containsSemiMixedTypes="0" containsString="0" containsNumber="1" containsInteger="1" minValue="8" maxValue="37"/>
    </cacheField>
    <cacheField name="% CONTROLS APPLICABLE" numFmtId="9">
      <sharedItems containsSemiMixedTypes="0" containsString="0" containsNumber="1" containsInteger="1" minValue="1" maxValue="1"/>
    </cacheField>
    <cacheField name="CONTROLS IMPLEMENTED" numFmtId="0">
      <sharedItems containsSemiMixedTypes="0" containsString="0" containsNumber="1" containsInteger="1" minValue="8" maxValue="37"/>
    </cacheField>
    <cacheField name="% APP CONTROLS IMPLEMENTED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SO27001ApplicabilityTableResults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>
      <items count="4">
        <item x="1"/>
        <item x="2"/>
        <item x="0"/>
        <item x="3"/>
      </items>
    </pivotField>
    <pivotField dataField="1" compact="0" outline="0" showAll="0" defaultSubtotal="0"/>
    <pivotField compact="0" numFmtId="9" outline="0" showAll="0" defaultSubtotal="0"/>
    <pivotField dataField="1" compact="0" outline="0" showAll="0" defaultSubtotal="0"/>
    <pivotField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PPLICABLE CONTROLS " fld="2" baseField="0" baseItem="0"/>
    <dataField name="CONTROLS IMPLEMENTED " fld="4" baseField="0" baseItem="0"/>
  </dataFields>
  <formats count="19">
    <format dxfId="53">
      <pivotArea field="0" type="button" dataOnly="0" labelOnly="1" outline="0" axis="axisRow" fieldPosition="0"/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0" type="button" dataOnly="0" labelOnly="1" outline="0" axis="axisRow" fieldPosition="0"/>
    </format>
    <format dxfId="49">
      <pivotArea field="1" type="button" dataOnly="0" labelOnly="1" outline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ISO27001%ResultsCha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0" numFmtId="9"/>
  </dataFields>
  <formats count="16"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ISO27001%Rada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3" numFmtId="9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O27001ApplicabilityTableResults11" displayName="ISO27001ApplicabilityTableResults11" ref="B13:G18" totalsRowCount="1" headerRowDxfId="83" dataDxfId="82" totalsRowDxfId="81">
  <autoFilter ref="B13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AREA OF STANDARD" totalsRowLabel="Total" dataDxfId="80" totalsRowDxfId="79"/>
    <tableColumn id="2" xr3:uid="{00000000-0010-0000-0000-000002000000}" name="NO OF CONTROLS" totalsRowFunction="sum" dataDxfId="78" totalsRowDxfId="77"/>
    <tableColumn id="3" xr3:uid="{00000000-0010-0000-0000-000003000000}" name="APPLICABLE CONTROLS" totalsRowFunction="sum" dataDxfId="76" totalsRowDxfId="75"/>
    <tableColumn id="4" xr3:uid="{00000000-0010-0000-0000-000004000000}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xr3:uid="{00000000-0010-0000-0000-000005000000}" name="CONTROLS IMPLEMENTED" totalsRowFunction="sum" dataDxfId="72" totalsRowDxfId="71"/>
    <tableColumn id="6" xr3:uid="{00000000-0010-0000-0000-000006000000}" name="% APP CONTROLS IMPLEMENTED" totalsRowFunction="average" dataDxfId="70" totalsRowDxfId="69" dataCellStyle="Percent">
      <calculatedColumnFormula>IF(D14=0,1,+F14/D14)</calculatedColumnFormula>
    </tableColumn>
  </tableColumns>
  <tableStyleInfo name="CertiKit table sty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O27001ApplicabilityTableResults" displayName="ISO27001ApplicabilityTableResults" ref="B6:G11" totalsRowCount="1" headerRowDxfId="68" dataDxfId="67" totalsRowDxfId="66">
  <autoFilter ref="B6:G1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AREA OF STANDARD" totalsRowLabel="Total" dataDxfId="65" totalsRowDxfId="64"/>
    <tableColumn id="2" xr3:uid="{00000000-0010-0000-0100-000002000000}" name="NO OF CONTROLS" totalsRowFunction="sum" dataDxfId="63" totalsRowDxfId="62"/>
    <tableColumn id="3" xr3:uid="{00000000-0010-0000-0100-000003000000}" name="APPLICABLE CONTROLS" totalsRowFunction="sum" dataDxfId="61" totalsRowDxfId="60"/>
    <tableColumn id="4" xr3:uid="{00000000-0010-0000-0100-000004000000}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xr3:uid="{00000000-0010-0000-0100-000005000000}" name="CONTROLS IMPLEMENTED" totalsRowFunction="sum" dataDxfId="57" totalsRowDxfId="56"/>
    <tableColumn id="6" xr3:uid="{00000000-0010-0000-0100-000006000000}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zoomScaleNormal="100" workbookViewId="0"/>
  </sheetViews>
  <sheetFormatPr defaultColWidth="9.140625" defaultRowHeight="13.8" x14ac:dyDescent="0.45"/>
  <cols>
    <col min="1" max="1" width="2.85546875" style="2" customWidth="1"/>
    <col min="2" max="2" width="22" style="2" customWidth="1"/>
    <col min="3" max="3" width="83.7109375" style="2" customWidth="1"/>
    <col min="4" max="4" width="9.140625" style="2" customWidth="1"/>
    <col min="5" max="16384" width="9.140625" style="2"/>
  </cols>
  <sheetData>
    <row r="2" spans="2:3" x14ac:dyDescent="0.45">
      <c r="B2" s="3"/>
    </row>
    <row r="3" spans="2:3" x14ac:dyDescent="0.45">
      <c r="B3" s="3"/>
    </row>
    <row r="4" spans="2:3" x14ac:dyDescent="0.45">
      <c r="B4" s="3"/>
    </row>
    <row r="5" spans="2:3" x14ac:dyDescent="0.45">
      <c r="B5" s="3"/>
    </row>
    <row r="6" spans="2:3" x14ac:dyDescent="0.45">
      <c r="B6" s="3"/>
    </row>
    <row r="8" spans="2:3" ht="21" customHeight="1" x14ac:dyDescent="0.45">
      <c r="B8" s="5" t="s">
        <v>0</v>
      </c>
      <c r="C8" s="6"/>
    </row>
    <row r="9" spans="2:3" x14ac:dyDescent="0.45">
      <c r="B9" s="6"/>
      <c r="C9" s="6"/>
    </row>
    <row r="10" spans="2:3" ht="30" customHeight="1" x14ac:dyDescent="0.45">
      <c r="B10" s="8" t="s">
        <v>1</v>
      </c>
      <c r="C10" s="9"/>
    </row>
    <row r="11" spans="2:3" ht="30" customHeight="1" x14ac:dyDescent="0.45">
      <c r="B11" s="8" t="s">
        <v>2</v>
      </c>
      <c r="C11" s="9"/>
    </row>
    <row r="12" spans="2:3" ht="30" customHeight="1" x14ac:dyDescent="0.45">
      <c r="B12" s="8" t="s">
        <v>3</v>
      </c>
      <c r="C12" s="9"/>
    </row>
    <row r="13" spans="2:3" ht="30" customHeight="1" x14ac:dyDescent="0.45">
      <c r="B13" s="8" t="s">
        <v>4</v>
      </c>
      <c r="C13" s="9"/>
    </row>
  </sheetData>
  <pageMargins left="0.70866141732283472" right="0.70866141732283472" top="0.74803149606299213" bottom="0.74803149606299213" header="0.31496062992125978" footer="0.31496062992125978"/>
  <pageSetup paperSize="9" scale="90" orientation="portrait" horizontalDpi="1200" verticalDpi="1200"/>
  <headerFooter>
    <oddFooter>&amp;L&amp;D&amp;CPage &amp;P of &amp;N&amp;R[Insert classification]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121"/>
  <sheetViews>
    <sheetView showGridLines="0" workbookViewId="0"/>
  </sheetViews>
  <sheetFormatPr defaultColWidth="9.140625" defaultRowHeight="13.8" x14ac:dyDescent="0.45"/>
  <cols>
    <col min="1" max="1" width="2.85546875" style="1" customWidth="1"/>
    <col min="2" max="2" width="37" style="1" customWidth="1"/>
    <col min="3" max="3" width="76.28515625" style="1" customWidth="1"/>
    <col min="4" max="4" width="12.140625" style="1" customWidth="1"/>
    <col min="5" max="5" width="15" style="1" customWidth="1"/>
    <col min="6" max="6" width="24.42578125" style="1" customWidth="1"/>
    <col min="7" max="7" width="32" style="1" customWidth="1"/>
    <col min="8" max="8" width="9.140625" style="1" customWidth="1"/>
    <col min="9" max="16384" width="9.140625" style="1"/>
  </cols>
  <sheetData>
    <row r="2" spans="1:7" x14ac:dyDescent="0.45">
      <c r="B2" s="11"/>
    </row>
    <row r="3" spans="1:7" x14ac:dyDescent="0.45">
      <c r="B3" s="11"/>
    </row>
    <row r="4" spans="1:7" x14ac:dyDescent="0.45">
      <c r="B4" s="11"/>
    </row>
    <row r="5" spans="1:7" ht="15.75" customHeight="1" x14ac:dyDescent="0.45">
      <c r="B5" s="11"/>
      <c r="F5" s="10"/>
    </row>
    <row r="6" spans="1:7" ht="15.75" customHeight="1" x14ac:dyDescent="0.45">
      <c r="B6" s="11"/>
      <c r="F6" s="10"/>
    </row>
    <row r="7" spans="1:7" ht="15.75" customHeight="1" x14ac:dyDescent="0.45">
      <c r="B7" s="11"/>
      <c r="F7" s="10" t="s">
        <v>5</v>
      </c>
    </row>
    <row r="8" spans="1:7" ht="21" customHeight="1" x14ac:dyDescent="0.45">
      <c r="B8" s="5" t="s">
        <v>6</v>
      </c>
      <c r="F8" s="2" t="s">
        <v>7</v>
      </c>
    </row>
    <row r="9" spans="1:7" ht="15" customHeight="1" x14ac:dyDescent="0.45">
      <c r="B9" s="7" t="s">
        <v>8</v>
      </c>
    </row>
    <row r="10" spans="1:7" ht="15" customHeight="1" x14ac:dyDescent="0.45">
      <c r="B10" s="7"/>
    </row>
    <row r="12" spans="1:7" ht="33.75" customHeight="1" x14ac:dyDescent="0.45">
      <c r="B12" s="19" t="s">
        <v>9</v>
      </c>
      <c r="C12" s="19" t="s">
        <v>10</v>
      </c>
      <c r="D12" s="19" t="s">
        <v>11</v>
      </c>
      <c r="E12" s="19" t="s">
        <v>12</v>
      </c>
      <c r="F12" s="19" t="s">
        <v>13</v>
      </c>
      <c r="G12" s="19" t="s">
        <v>14</v>
      </c>
    </row>
    <row r="14" spans="1:7" ht="18.75" customHeight="1" x14ac:dyDescent="0.45">
      <c r="B14" s="18" t="s">
        <v>15</v>
      </c>
    </row>
    <row r="15" spans="1:7" x14ac:dyDescent="0.45">
      <c r="C15" s="1" t="s">
        <v>16</v>
      </c>
      <c r="D15" s="14" t="s">
        <v>17</v>
      </c>
      <c r="E15" s="14" t="s">
        <v>18</v>
      </c>
      <c r="F15" t="s">
        <v>19</v>
      </c>
      <c r="G15" t="s">
        <v>20</v>
      </c>
    </row>
    <row r="16" spans="1:7" x14ac:dyDescent="0.45">
      <c r="A16" s="12"/>
      <c r="C16" s="1" t="s">
        <v>21</v>
      </c>
      <c r="D16" s="14" t="s">
        <v>17</v>
      </c>
      <c r="E16" s="14" t="s">
        <v>17</v>
      </c>
      <c r="F16" t="s">
        <v>22</v>
      </c>
      <c r="G16" t="s">
        <v>23</v>
      </c>
    </row>
    <row r="17" spans="1:7" x14ac:dyDescent="0.45">
      <c r="A17" s="12"/>
      <c r="C17" s="1" t="s">
        <v>24</v>
      </c>
      <c r="D17" s="14" t="s">
        <v>17</v>
      </c>
      <c r="E17" s="14" t="s">
        <v>17</v>
      </c>
      <c r="F17" t="s">
        <v>25</v>
      </c>
      <c r="G17" t="s">
        <v>26</v>
      </c>
    </row>
    <row r="18" spans="1:7" x14ac:dyDescent="0.45">
      <c r="A18" s="12"/>
      <c r="C18" s="1" t="s">
        <v>27</v>
      </c>
      <c r="D18" s="14" t="s">
        <v>17</v>
      </c>
      <c r="E18" s="14" t="s">
        <v>17</v>
      </c>
      <c r="F18" t="s">
        <v>28</v>
      </c>
      <c r="G18" t="s">
        <v>29</v>
      </c>
    </row>
    <row r="19" spans="1:7" x14ac:dyDescent="0.45">
      <c r="A19" s="12"/>
      <c r="C19" s="1" t="s">
        <v>30</v>
      </c>
      <c r="D19" s="14" t="s">
        <v>17</v>
      </c>
      <c r="E19" s="14" t="s">
        <v>17</v>
      </c>
      <c r="F19" t="s">
        <v>31</v>
      </c>
      <c r="G19" t="s">
        <v>32</v>
      </c>
    </row>
    <row r="20" spans="1:7" x14ac:dyDescent="0.45">
      <c r="A20" s="12"/>
      <c r="C20" s="1" t="s">
        <v>33</v>
      </c>
      <c r="D20" s="14" t="s">
        <v>17</v>
      </c>
      <c r="E20" s="14" t="s">
        <v>18</v>
      </c>
      <c r="F20" t="s">
        <v>34</v>
      </c>
      <c r="G20" t="s">
        <v>35</v>
      </c>
    </row>
    <row r="21" spans="1:7" x14ac:dyDescent="0.45">
      <c r="A21" s="12"/>
      <c r="C21" s="1" t="s">
        <v>36</v>
      </c>
      <c r="D21" s="14" t="s">
        <v>17</v>
      </c>
      <c r="E21" s="14" t="s">
        <v>18</v>
      </c>
      <c r="F21" t="s">
        <v>37</v>
      </c>
      <c r="G21" t="s">
        <v>38</v>
      </c>
    </row>
    <row r="22" spans="1:7" x14ac:dyDescent="0.45">
      <c r="A22" s="12"/>
      <c r="C22" s="1" t="s">
        <v>39</v>
      </c>
      <c r="D22" s="14" t="s">
        <v>17</v>
      </c>
      <c r="E22" s="14" t="s">
        <v>17</v>
      </c>
      <c r="F22" t="s">
        <v>40</v>
      </c>
      <c r="G22" t="s">
        <v>41</v>
      </c>
    </row>
    <row r="23" spans="1:7" x14ac:dyDescent="0.45">
      <c r="A23" s="12"/>
      <c r="C23" s="1" t="s">
        <v>42</v>
      </c>
      <c r="D23" s="14" t="s">
        <v>17</v>
      </c>
      <c r="E23" s="14" t="s">
        <v>17</v>
      </c>
      <c r="F23" t="s">
        <v>43</v>
      </c>
      <c r="G23" t="s">
        <v>44</v>
      </c>
    </row>
    <row r="24" spans="1:7" x14ac:dyDescent="0.45">
      <c r="A24" s="12"/>
      <c r="C24" s="1" t="s">
        <v>45</v>
      </c>
      <c r="D24" s="14" t="s">
        <v>17</v>
      </c>
      <c r="E24" s="14" t="s">
        <v>18</v>
      </c>
      <c r="F24" t="s">
        <v>46</v>
      </c>
      <c r="G24" t="s">
        <v>47</v>
      </c>
    </row>
    <row r="25" spans="1:7" x14ac:dyDescent="0.45">
      <c r="A25" s="12"/>
      <c r="C25" s="1" t="s">
        <v>48</v>
      </c>
      <c r="D25" s="14" t="s">
        <v>17</v>
      </c>
      <c r="E25" s="14" t="s">
        <v>17</v>
      </c>
      <c r="F25" t="s">
        <v>49</v>
      </c>
      <c r="G25" t="s">
        <v>50</v>
      </c>
    </row>
    <row r="26" spans="1:7" x14ac:dyDescent="0.45">
      <c r="A26" s="12"/>
      <c r="C26" s="1" t="s">
        <v>51</v>
      </c>
      <c r="D26" s="14" t="s">
        <v>17</v>
      </c>
      <c r="E26" s="14" t="s">
        <v>17</v>
      </c>
      <c r="F26" t="s">
        <v>52</v>
      </c>
      <c r="G26" t="s">
        <v>53</v>
      </c>
    </row>
    <row r="27" spans="1:7" x14ac:dyDescent="0.45">
      <c r="A27" s="12"/>
      <c r="C27" s="1" t="s">
        <v>54</v>
      </c>
      <c r="D27" s="14" t="s">
        <v>17</v>
      </c>
      <c r="E27" s="14" t="s">
        <v>17</v>
      </c>
      <c r="F27" t="s">
        <v>55</v>
      </c>
      <c r="G27" t="s">
        <v>56</v>
      </c>
    </row>
    <row r="28" spans="1:7" x14ac:dyDescent="0.45">
      <c r="A28" s="12"/>
      <c r="C28" s="1" t="s">
        <v>57</v>
      </c>
      <c r="D28" s="14" t="s">
        <v>17</v>
      </c>
      <c r="E28" s="14" t="s">
        <v>17</v>
      </c>
      <c r="F28" t="s">
        <v>58</v>
      </c>
      <c r="G28" t="s">
        <v>59</v>
      </c>
    </row>
    <row r="29" spans="1:7" x14ac:dyDescent="0.45">
      <c r="A29" s="12"/>
      <c r="C29" s="1" t="s">
        <v>60</v>
      </c>
      <c r="D29" s="14" t="s">
        <v>17</v>
      </c>
      <c r="E29" s="14" t="s">
        <v>17</v>
      </c>
      <c r="F29" t="s">
        <v>61</v>
      </c>
      <c r="G29" t="s">
        <v>62</v>
      </c>
    </row>
    <row r="30" spans="1:7" x14ac:dyDescent="0.45">
      <c r="A30" s="12"/>
      <c r="C30" s="1" t="s">
        <v>63</v>
      </c>
      <c r="D30" s="14" t="s">
        <v>17</v>
      </c>
      <c r="E30" s="14" t="s">
        <v>17</v>
      </c>
      <c r="F30" t="s">
        <v>64</v>
      </c>
      <c r="G30" t="s">
        <v>65</v>
      </c>
    </row>
    <row r="31" spans="1:7" x14ac:dyDescent="0.45">
      <c r="A31" s="12"/>
      <c r="C31" s="1" t="s">
        <v>66</v>
      </c>
      <c r="D31" s="14" t="s">
        <v>17</v>
      </c>
      <c r="E31" s="14" t="s">
        <v>17</v>
      </c>
      <c r="F31" t="s">
        <v>67</v>
      </c>
      <c r="G31" t="s">
        <v>68</v>
      </c>
    </row>
    <row r="32" spans="1:7" x14ac:dyDescent="0.45">
      <c r="A32" s="12"/>
      <c r="C32" s="1" t="s">
        <v>69</v>
      </c>
      <c r="D32" s="14" t="s">
        <v>17</v>
      </c>
      <c r="E32" s="14" t="s">
        <v>18</v>
      </c>
      <c r="F32" t="s">
        <v>70</v>
      </c>
      <c r="G32" t="s">
        <v>71</v>
      </c>
    </row>
    <row r="33" spans="1:7" x14ac:dyDescent="0.45">
      <c r="A33" s="12"/>
      <c r="C33" s="1" t="s">
        <v>72</v>
      </c>
      <c r="D33" s="14" t="s">
        <v>17</v>
      </c>
      <c r="E33" s="14" t="s">
        <v>17</v>
      </c>
      <c r="F33" t="s">
        <v>73</v>
      </c>
      <c r="G33" t="s">
        <v>74</v>
      </c>
    </row>
    <row r="34" spans="1:7" x14ac:dyDescent="0.45">
      <c r="A34" s="12"/>
      <c r="C34" s="1" t="s">
        <v>75</v>
      </c>
      <c r="D34" s="14" t="s">
        <v>17</v>
      </c>
      <c r="E34" s="14" t="s">
        <v>17</v>
      </c>
      <c r="F34" t="s">
        <v>76</v>
      </c>
      <c r="G34" t="s">
        <v>77</v>
      </c>
    </row>
    <row r="35" spans="1:7" x14ac:dyDescent="0.45">
      <c r="A35" s="12"/>
      <c r="C35" s="1" t="s">
        <v>78</v>
      </c>
      <c r="D35" s="14" t="s">
        <v>17</v>
      </c>
      <c r="E35" s="14" t="s">
        <v>18</v>
      </c>
      <c r="F35" t="s">
        <v>79</v>
      </c>
      <c r="G35" t="s">
        <v>80</v>
      </c>
    </row>
    <row r="36" spans="1:7" x14ac:dyDescent="0.45">
      <c r="A36" s="12"/>
      <c r="C36" s="1" t="s">
        <v>81</v>
      </c>
      <c r="D36" s="14" t="s">
        <v>17</v>
      </c>
      <c r="E36" s="14" t="s">
        <v>17</v>
      </c>
      <c r="F36" t="s">
        <v>82</v>
      </c>
      <c r="G36" t="s">
        <v>83</v>
      </c>
    </row>
    <row r="37" spans="1:7" x14ac:dyDescent="0.45">
      <c r="A37" s="12"/>
      <c r="C37" s="1" t="s">
        <v>84</v>
      </c>
      <c r="D37" s="14" t="s">
        <v>17</v>
      </c>
      <c r="E37" s="14" t="s">
        <v>18</v>
      </c>
      <c r="F37" t="s">
        <v>85</v>
      </c>
      <c r="G37" t="s">
        <v>86</v>
      </c>
    </row>
    <row r="38" spans="1:7" x14ac:dyDescent="0.45">
      <c r="A38" s="12"/>
      <c r="C38" s="1" t="s">
        <v>87</v>
      </c>
      <c r="D38" s="14" t="s">
        <v>17</v>
      </c>
      <c r="E38" s="14" t="s">
        <v>17</v>
      </c>
      <c r="F38" t="s">
        <v>88</v>
      </c>
      <c r="G38" t="s">
        <v>89</v>
      </c>
    </row>
    <row r="39" spans="1:7" x14ac:dyDescent="0.45">
      <c r="A39" s="12"/>
      <c r="C39" s="1" t="s">
        <v>90</v>
      </c>
      <c r="D39" s="14" t="s">
        <v>17</v>
      </c>
      <c r="E39" s="14" t="s">
        <v>17</v>
      </c>
      <c r="F39" t="s">
        <v>91</v>
      </c>
      <c r="G39" t="s">
        <v>92</v>
      </c>
    </row>
    <row r="40" spans="1:7" x14ac:dyDescent="0.45">
      <c r="A40" s="12"/>
      <c r="C40" s="1" t="s">
        <v>93</v>
      </c>
      <c r="D40" s="14" t="s">
        <v>17</v>
      </c>
      <c r="E40" s="14" t="s">
        <v>17</v>
      </c>
      <c r="F40" t="s">
        <v>94</v>
      </c>
      <c r="G40" t="s">
        <v>95</v>
      </c>
    </row>
    <row r="41" spans="1:7" x14ac:dyDescent="0.45">
      <c r="A41" s="12"/>
      <c r="C41" s="1" t="s">
        <v>96</v>
      </c>
      <c r="D41" s="14" t="s">
        <v>17</v>
      </c>
      <c r="E41" s="14" t="s">
        <v>18</v>
      </c>
      <c r="F41" t="s">
        <v>97</v>
      </c>
      <c r="G41" t="s">
        <v>98</v>
      </c>
    </row>
    <row r="42" spans="1:7" x14ac:dyDescent="0.45">
      <c r="A42" s="12"/>
      <c r="C42" s="1" t="s">
        <v>99</v>
      </c>
      <c r="D42" s="14" t="s">
        <v>17</v>
      </c>
      <c r="E42" s="14" t="s">
        <v>17</v>
      </c>
      <c r="F42" t="s">
        <v>100</v>
      </c>
      <c r="G42" t="s">
        <v>101</v>
      </c>
    </row>
    <row r="43" spans="1:7" x14ac:dyDescent="0.45">
      <c r="A43" s="12"/>
      <c r="C43" s="1" t="s">
        <v>102</v>
      </c>
      <c r="D43" s="14" t="s">
        <v>17</v>
      </c>
      <c r="E43" s="14" t="s">
        <v>17</v>
      </c>
      <c r="F43" t="s">
        <v>103</v>
      </c>
      <c r="G43" t="s">
        <v>104</v>
      </c>
    </row>
    <row r="44" spans="1:7" x14ac:dyDescent="0.45">
      <c r="A44" s="12"/>
      <c r="C44" s="1" t="s">
        <v>105</v>
      </c>
      <c r="D44" s="14" t="s">
        <v>17</v>
      </c>
      <c r="E44" s="14" t="s">
        <v>17</v>
      </c>
      <c r="F44" t="s">
        <v>106</v>
      </c>
      <c r="G44" t="s">
        <v>107</v>
      </c>
    </row>
    <row r="45" spans="1:7" x14ac:dyDescent="0.45">
      <c r="A45" s="12"/>
      <c r="C45" s="1" t="s">
        <v>108</v>
      </c>
      <c r="D45" s="14" t="s">
        <v>17</v>
      </c>
      <c r="E45" s="14" t="s">
        <v>17</v>
      </c>
      <c r="F45" t="s">
        <v>109</v>
      </c>
      <c r="G45" t="s">
        <v>110</v>
      </c>
    </row>
    <row r="46" spans="1:7" x14ac:dyDescent="0.45">
      <c r="A46" s="12"/>
      <c r="C46" s="1" t="s">
        <v>111</v>
      </c>
      <c r="D46" s="14" t="s">
        <v>17</v>
      </c>
      <c r="E46" s="14" t="s">
        <v>18</v>
      </c>
      <c r="F46" t="s">
        <v>112</v>
      </c>
      <c r="G46" t="s">
        <v>113</v>
      </c>
    </row>
    <row r="47" spans="1:7" x14ac:dyDescent="0.45">
      <c r="A47" s="12"/>
      <c r="C47" s="1" t="s">
        <v>114</v>
      </c>
      <c r="D47" s="14" t="s">
        <v>17</v>
      </c>
      <c r="E47" s="14" t="s">
        <v>17</v>
      </c>
      <c r="F47" t="s">
        <v>115</v>
      </c>
      <c r="G47" t="s">
        <v>116</v>
      </c>
    </row>
    <row r="48" spans="1:7" x14ac:dyDescent="0.45">
      <c r="A48" s="12"/>
      <c r="C48" s="1" t="s">
        <v>117</v>
      </c>
      <c r="D48" s="14" t="s">
        <v>17</v>
      </c>
      <c r="E48" s="14" t="s">
        <v>18</v>
      </c>
      <c r="F48" t="s">
        <v>118</v>
      </c>
      <c r="G48" t="s">
        <v>119</v>
      </c>
    </row>
    <row r="49" spans="1:7" x14ac:dyDescent="0.45">
      <c r="A49" s="12"/>
      <c r="C49" s="1" t="s">
        <v>120</v>
      </c>
      <c r="D49" s="14" t="s">
        <v>17</v>
      </c>
      <c r="E49" s="14" t="s">
        <v>18</v>
      </c>
      <c r="F49" t="s">
        <v>121</v>
      </c>
      <c r="G49" t="s">
        <v>122</v>
      </c>
    </row>
    <row r="50" spans="1:7" x14ac:dyDescent="0.45">
      <c r="A50" s="12"/>
      <c r="C50" s="1" t="s">
        <v>123</v>
      </c>
      <c r="D50" s="14" t="s">
        <v>17</v>
      </c>
      <c r="E50" s="14" t="s">
        <v>18</v>
      </c>
      <c r="F50" t="s">
        <v>124</v>
      </c>
      <c r="G50" t="s">
        <v>125</v>
      </c>
    </row>
    <row r="51" spans="1:7" x14ac:dyDescent="0.45">
      <c r="A51" s="12"/>
      <c r="C51" s="1" t="s">
        <v>126</v>
      </c>
      <c r="D51" s="14" t="s">
        <v>17</v>
      </c>
      <c r="E51" s="14" t="s">
        <v>18</v>
      </c>
      <c r="F51" t="s">
        <v>127</v>
      </c>
      <c r="G51" t="s">
        <v>128</v>
      </c>
    </row>
    <row r="53" spans="1:7" ht="14.1" x14ac:dyDescent="0.45">
      <c r="B53" s="13"/>
      <c r="C53" s="15" t="s">
        <v>129</v>
      </c>
      <c r="D53" s="16">
        <f>+COUNTIF(D15:D51,"Yes")</f>
        <v>37</v>
      </c>
      <c r="E53" s="16">
        <f>+COUNTIF(E15:E51,"Yes")</f>
        <v>24</v>
      </c>
      <c r="F53" s="13"/>
      <c r="G53" s="13"/>
    </row>
    <row r="55" spans="1:7" ht="18.75" customHeight="1" x14ac:dyDescent="0.45">
      <c r="B55" s="18" t="s">
        <v>130</v>
      </c>
    </row>
    <row r="56" spans="1:7" x14ac:dyDescent="0.45">
      <c r="C56" s="1" t="s">
        <v>131</v>
      </c>
      <c r="D56" s="14" t="s">
        <v>17</v>
      </c>
      <c r="E56" s="14" t="s">
        <v>17</v>
      </c>
      <c r="F56" t="s">
        <v>132</v>
      </c>
      <c r="G56" t="s">
        <v>133</v>
      </c>
    </row>
    <row r="57" spans="1:7" x14ac:dyDescent="0.45">
      <c r="C57" s="1" t="s">
        <v>134</v>
      </c>
      <c r="D57" s="14" t="s">
        <v>17</v>
      </c>
      <c r="E57" s="14" t="s">
        <v>17</v>
      </c>
      <c r="F57" t="s">
        <v>135</v>
      </c>
      <c r="G57" t="s">
        <v>136</v>
      </c>
    </row>
    <row r="58" spans="1:7" x14ac:dyDescent="0.45">
      <c r="C58" s="1" t="s">
        <v>137</v>
      </c>
      <c r="D58" s="14" t="s">
        <v>17</v>
      </c>
      <c r="E58" s="14" t="s">
        <v>18</v>
      </c>
      <c r="F58" t="s">
        <v>138</v>
      </c>
      <c r="G58" t="s">
        <v>139</v>
      </c>
    </row>
    <row r="59" spans="1:7" x14ac:dyDescent="0.45">
      <c r="C59" s="1" t="s">
        <v>140</v>
      </c>
      <c r="D59" s="14" t="s">
        <v>17</v>
      </c>
      <c r="E59" s="14" t="s">
        <v>17</v>
      </c>
      <c r="F59" t="s">
        <v>141</v>
      </c>
      <c r="G59" t="s">
        <v>142</v>
      </c>
    </row>
    <row r="60" spans="1:7" x14ac:dyDescent="0.45">
      <c r="C60" s="1" t="s">
        <v>143</v>
      </c>
      <c r="D60" s="14" t="s">
        <v>17</v>
      </c>
      <c r="E60" s="14" t="s">
        <v>17</v>
      </c>
      <c r="F60" t="s">
        <v>144</v>
      </c>
      <c r="G60" t="s">
        <v>145</v>
      </c>
    </row>
    <row r="61" spans="1:7" x14ac:dyDescent="0.45">
      <c r="C61" s="1" t="s">
        <v>146</v>
      </c>
      <c r="D61" s="14" t="s">
        <v>17</v>
      </c>
      <c r="E61" s="14" t="s">
        <v>17</v>
      </c>
      <c r="F61" t="s">
        <v>147</v>
      </c>
      <c r="G61" t="s">
        <v>148</v>
      </c>
    </row>
    <row r="62" spans="1:7" x14ac:dyDescent="0.45">
      <c r="C62" s="1" t="s">
        <v>149</v>
      </c>
      <c r="D62" s="14" t="s">
        <v>17</v>
      </c>
      <c r="E62" s="14" t="s">
        <v>17</v>
      </c>
      <c r="F62" t="s">
        <v>150</v>
      </c>
      <c r="G62" t="s">
        <v>151</v>
      </c>
    </row>
    <row r="63" spans="1:7" x14ac:dyDescent="0.45">
      <c r="C63" s="1" t="s">
        <v>152</v>
      </c>
      <c r="D63" s="14" t="s">
        <v>17</v>
      </c>
      <c r="E63" s="14" t="s">
        <v>18</v>
      </c>
      <c r="F63" t="s">
        <v>153</v>
      </c>
      <c r="G63" t="s">
        <v>154</v>
      </c>
    </row>
    <row r="65" spans="2:7" ht="14.1" x14ac:dyDescent="0.45">
      <c r="B65" s="13"/>
      <c r="C65" s="15" t="s">
        <v>129</v>
      </c>
      <c r="D65" s="16">
        <f>+COUNTIF(D56:D63,"Yes")</f>
        <v>8</v>
      </c>
      <c r="E65" s="16">
        <f>+COUNTIF(E56:E63,"Yes")</f>
        <v>6</v>
      </c>
      <c r="F65" s="13"/>
      <c r="G65" s="13"/>
    </row>
    <row r="67" spans="2:7" ht="18.75" customHeight="1" x14ac:dyDescent="0.45">
      <c r="B67" s="18" t="s">
        <v>155</v>
      </c>
    </row>
    <row r="68" spans="2:7" ht="15" customHeight="1" x14ac:dyDescent="0.45">
      <c r="B68" s="18"/>
      <c r="C68" s="1" t="s">
        <v>156</v>
      </c>
      <c r="D68" s="14" t="s">
        <v>17</v>
      </c>
      <c r="E68" s="14" t="s">
        <v>17</v>
      </c>
      <c r="F68" t="s">
        <v>157</v>
      </c>
      <c r="G68" t="s">
        <v>158</v>
      </c>
    </row>
    <row r="69" spans="2:7" ht="15" customHeight="1" x14ac:dyDescent="0.45">
      <c r="B69" s="18"/>
      <c r="C69" s="1" t="s">
        <v>159</v>
      </c>
      <c r="D69" s="14" t="s">
        <v>17</v>
      </c>
      <c r="E69" s="14" t="s">
        <v>17</v>
      </c>
      <c r="F69" t="s">
        <v>160</v>
      </c>
      <c r="G69" t="s">
        <v>161</v>
      </c>
    </row>
    <row r="70" spans="2:7" ht="15" customHeight="1" x14ac:dyDescent="0.45">
      <c r="B70" s="18"/>
      <c r="C70" s="1" t="s">
        <v>162</v>
      </c>
      <c r="D70" s="14" t="s">
        <v>17</v>
      </c>
      <c r="E70" s="14" t="s">
        <v>17</v>
      </c>
      <c r="F70" t="s">
        <v>163</v>
      </c>
      <c r="G70" t="s">
        <v>164</v>
      </c>
    </row>
    <row r="71" spans="2:7" ht="15" customHeight="1" x14ac:dyDescent="0.45">
      <c r="B71" s="18"/>
      <c r="C71" s="1" t="s">
        <v>165</v>
      </c>
      <c r="D71" s="14" t="s">
        <v>17</v>
      </c>
      <c r="E71" s="14" t="s">
        <v>17</v>
      </c>
      <c r="F71" t="s">
        <v>166</v>
      </c>
      <c r="G71" t="s">
        <v>167</v>
      </c>
    </row>
    <row r="72" spans="2:7" ht="15" customHeight="1" x14ac:dyDescent="0.45">
      <c r="B72" s="18"/>
      <c r="C72" s="1" t="s">
        <v>168</v>
      </c>
      <c r="D72" s="14" t="s">
        <v>17</v>
      </c>
      <c r="E72" s="14" t="s">
        <v>17</v>
      </c>
      <c r="F72" t="s">
        <v>169</v>
      </c>
      <c r="G72" t="s">
        <v>170</v>
      </c>
    </row>
    <row r="73" spans="2:7" ht="15" customHeight="1" x14ac:dyDescent="0.45">
      <c r="B73" s="18"/>
      <c r="C73" s="1" t="s">
        <v>171</v>
      </c>
      <c r="D73" s="14" t="s">
        <v>17</v>
      </c>
      <c r="E73" s="14" t="s">
        <v>17</v>
      </c>
      <c r="F73" t="s">
        <v>172</v>
      </c>
      <c r="G73" t="s">
        <v>173</v>
      </c>
    </row>
    <row r="74" spans="2:7" ht="15" customHeight="1" x14ac:dyDescent="0.45">
      <c r="C74" s="1" t="s">
        <v>174</v>
      </c>
      <c r="D74" s="14" t="s">
        <v>17</v>
      </c>
      <c r="E74" s="14" t="s">
        <v>17</v>
      </c>
      <c r="F74" t="s">
        <v>175</v>
      </c>
      <c r="G74" t="s">
        <v>176</v>
      </c>
    </row>
    <row r="75" spans="2:7" ht="15" customHeight="1" x14ac:dyDescent="0.45">
      <c r="C75" s="1" t="s">
        <v>177</v>
      </c>
      <c r="D75" s="14" t="s">
        <v>17</v>
      </c>
      <c r="E75" s="14" t="s">
        <v>17</v>
      </c>
      <c r="F75" t="s">
        <v>178</v>
      </c>
      <c r="G75" t="s">
        <v>179</v>
      </c>
    </row>
    <row r="76" spans="2:7" ht="15" customHeight="1" x14ac:dyDescent="0.45">
      <c r="C76" s="1" t="s">
        <v>180</v>
      </c>
      <c r="D76" s="14" t="s">
        <v>17</v>
      </c>
      <c r="E76" s="14" t="s">
        <v>18</v>
      </c>
      <c r="F76" t="s">
        <v>181</v>
      </c>
      <c r="G76" t="s">
        <v>182</v>
      </c>
    </row>
    <row r="77" spans="2:7" ht="15" customHeight="1" x14ac:dyDescent="0.45">
      <c r="C77" s="1" t="s">
        <v>183</v>
      </c>
      <c r="D77" s="14" t="s">
        <v>17</v>
      </c>
      <c r="E77" s="14" t="s">
        <v>17</v>
      </c>
      <c r="F77" t="s">
        <v>184</v>
      </c>
      <c r="G77" t="s">
        <v>185</v>
      </c>
    </row>
    <row r="78" spans="2:7" ht="15" customHeight="1" x14ac:dyDescent="0.45">
      <c r="C78" s="1" t="s">
        <v>186</v>
      </c>
      <c r="D78" s="14" t="s">
        <v>17</v>
      </c>
      <c r="E78" s="14" t="s">
        <v>17</v>
      </c>
      <c r="F78" t="s">
        <v>187</v>
      </c>
      <c r="G78" t="s">
        <v>188</v>
      </c>
    </row>
    <row r="79" spans="2:7" ht="15" customHeight="1" x14ac:dyDescent="0.45">
      <c r="C79" s="1" t="s">
        <v>189</v>
      </c>
      <c r="D79" s="14" t="s">
        <v>17</v>
      </c>
      <c r="E79" s="14" t="s">
        <v>17</v>
      </c>
      <c r="F79" t="s">
        <v>190</v>
      </c>
      <c r="G79" t="s">
        <v>191</v>
      </c>
    </row>
    <row r="80" spans="2:7" ht="15" customHeight="1" x14ac:dyDescent="0.45">
      <c r="C80" s="1" t="s">
        <v>192</v>
      </c>
      <c r="D80" s="14" t="s">
        <v>17</v>
      </c>
      <c r="E80" s="14" t="s">
        <v>17</v>
      </c>
      <c r="F80" t="s">
        <v>193</v>
      </c>
      <c r="G80" t="s">
        <v>194</v>
      </c>
    </row>
    <row r="81" spans="2:7" ht="15" customHeight="1" x14ac:dyDescent="0.45">
      <c r="C81" s="1" t="s">
        <v>195</v>
      </c>
      <c r="D81" s="14" t="s">
        <v>17</v>
      </c>
      <c r="E81" s="14" t="s">
        <v>18</v>
      </c>
      <c r="F81" t="s">
        <v>196</v>
      </c>
      <c r="G81" t="s">
        <v>197</v>
      </c>
    </row>
    <row r="83" spans="2:7" ht="14.1" x14ac:dyDescent="0.45">
      <c r="B83" s="13"/>
      <c r="C83" s="15" t="s">
        <v>129</v>
      </c>
      <c r="D83" s="16">
        <f>+COUNTIF(D68:D81,"Yes")</f>
        <v>14</v>
      </c>
      <c r="E83" s="16">
        <f>+COUNTIF(E68:E81,"Yes")</f>
        <v>12</v>
      </c>
      <c r="F83" s="13"/>
      <c r="G83" s="13"/>
    </row>
    <row r="85" spans="2:7" ht="18.75" customHeight="1" x14ac:dyDescent="0.45">
      <c r="B85" s="18" t="s">
        <v>198</v>
      </c>
    </row>
    <row r="86" spans="2:7" ht="15" customHeight="1" x14ac:dyDescent="0.45">
      <c r="B86" s="18"/>
      <c r="C86" s="1" t="s">
        <v>199</v>
      </c>
      <c r="D86" s="14" t="s">
        <v>17</v>
      </c>
      <c r="E86" s="14" t="s">
        <v>18</v>
      </c>
      <c r="F86" t="s">
        <v>200</v>
      </c>
      <c r="G86" t="s">
        <v>201</v>
      </c>
    </row>
    <row r="87" spans="2:7" ht="15" customHeight="1" x14ac:dyDescent="0.45">
      <c r="B87" s="18"/>
      <c r="C87" s="1" t="s">
        <v>202</v>
      </c>
      <c r="D87" s="14" t="s">
        <v>17</v>
      </c>
      <c r="E87" s="14" t="s">
        <v>18</v>
      </c>
      <c r="F87" t="s">
        <v>203</v>
      </c>
      <c r="G87" t="s">
        <v>204</v>
      </c>
    </row>
    <row r="88" spans="2:7" ht="15" customHeight="1" x14ac:dyDescent="0.45">
      <c r="B88" s="18"/>
      <c r="C88" s="1" t="s">
        <v>205</v>
      </c>
      <c r="D88" s="14" t="s">
        <v>17</v>
      </c>
      <c r="E88" s="14" t="s">
        <v>18</v>
      </c>
      <c r="F88" t="s">
        <v>206</v>
      </c>
      <c r="G88" t="s">
        <v>207</v>
      </c>
    </row>
    <row r="89" spans="2:7" ht="15" customHeight="1" x14ac:dyDescent="0.45">
      <c r="B89" s="18"/>
      <c r="C89" s="1" t="s">
        <v>208</v>
      </c>
      <c r="D89" s="14" t="s">
        <v>17</v>
      </c>
      <c r="E89" s="14" t="s">
        <v>17</v>
      </c>
      <c r="F89" t="s">
        <v>209</v>
      </c>
      <c r="G89" t="s">
        <v>210</v>
      </c>
    </row>
    <row r="90" spans="2:7" ht="15" customHeight="1" x14ac:dyDescent="0.45">
      <c r="B90" s="18"/>
      <c r="C90" s="1" t="s">
        <v>211</v>
      </c>
      <c r="D90" s="14" t="s">
        <v>17</v>
      </c>
      <c r="E90" s="14" t="s">
        <v>17</v>
      </c>
      <c r="F90" t="s">
        <v>212</v>
      </c>
      <c r="G90" t="s">
        <v>213</v>
      </c>
    </row>
    <row r="91" spans="2:7" ht="15" customHeight="1" x14ac:dyDescent="0.45">
      <c r="B91" s="18"/>
      <c r="C91" s="1" t="s">
        <v>214</v>
      </c>
      <c r="D91" s="14" t="s">
        <v>17</v>
      </c>
      <c r="E91" s="14" t="s">
        <v>17</v>
      </c>
      <c r="F91" t="s">
        <v>215</v>
      </c>
      <c r="G91" t="s">
        <v>216</v>
      </c>
    </row>
    <row r="92" spans="2:7" ht="15" customHeight="1" x14ac:dyDescent="0.45">
      <c r="B92" s="18"/>
      <c r="C92" s="1" t="s">
        <v>217</v>
      </c>
      <c r="D92" s="14" t="s">
        <v>17</v>
      </c>
      <c r="E92" s="14" t="s">
        <v>17</v>
      </c>
      <c r="F92" t="s">
        <v>218</v>
      </c>
      <c r="G92" t="s">
        <v>219</v>
      </c>
    </row>
    <row r="93" spans="2:7" ht="15" customHeight="1" x14ac:dyDescent="0.45">
      <c r="B93" s="18"/>
      <c r="C93" s="1" t="s">
        <v>220</v>
      </c>
      <c r="D93" s="14" t="s">
        <v>17</v>
      </c>
      <c r="E93" s="14" t="s">
        <v>18</v>
      </c>
      <c r="F93" t="s">
        <v>221</v>
      </c>
      <c r="G93" t="s">
        <v>222</v>
      </c>
    </row>
    <row r="94" spans="2:7" ht="15" customHeight="1" x14ac:dyDescent="0.45">
      <c r="B94" s="18"/>
      <c r="C94" s="1" t="s">
        <v>223</v>
      </c>
      <c r="D94" s="14" t="s">
        <v>17</v>
      </c>
      <c r="E94" s="14" t="s">
        <v>18</v>
      </c>
      <c r="F94" t="s">
        <v>224</v>
      </c>
      <c r="G94" t="s">
        <v>225</v>
      </c>
    </row>
    <row r="95" spans="2:7" ht="15" customHeight="1" x14ac:dyDescent="0.45">
      <c r="B95" s="18"/>
      <c r="C95" s="1" t="s">
        <v>226</v>
      </c>
      <c r="D95" s="14" t="s">
        <v>17</v>
      </c>
      <c r="E95" s="14" t="s">
        <v>18</v>
      </c>
      <c r="F95" t="s">
        <v>227</v>
      </c>
      <c r="G95" t="s">
        <v>228</v>
      </c>
    </row>
    <row r="96" spans="2:7" ht="15" customHeight="1" x14ac:dyDescent="0.45">
      <c r="B96" s="18"/>
      <c r="C96" s="1" t="s">
        <v>229</v>
      </c>
      <c r="D96" s="14" t="s">
        <v>17</v>
      </c>
      <c r="E96" s="14" t="s">
        <v>18</v>
      </c>
      <c r="F96" t="s">
        <v>230</v>
      </c>
      <c r="G96" t="s">
        <v>231</v>
      </c>
    </row>
    <row r="97" spans="2:7" ht="15" customHeight="1" x14ac:dyDescent="0.45">
      <c r="B97" s="18"/>
      <c r="C97" s="1" t="s">
        <v>232</v>
      </c>
      <c r="D97" s="14" t="s">
        <v>17</v>
      </c>
      <c r="E97" s="14" t="s">
        <v>18</v>
      </c>
      <c r="F97" t="s">
        <v>233</v>
      </c>
      <c r="G97" t="s">
        <v>234</v>
      </c>
    </row>
    <row r="98" spans="2:7" ht="15" customHeight="1" x14ac:dyDescent="0.45">
      <c r="B98" s="18"/>
      <c r="C98" s="1" t="s">
        <v>235</v>
      </c>
      <c r="D98" s="14" t="s">
        <v>17</v>
      </c>
      <c r="E98" s="14" t="s">
        <v>17</v>
      </c>
      <c r="F98" t="s">
        <v>236</v>
      </c>
      <c r="G98" t="s">
        <v>237</v>
      </c>
    </row>
    <row r="99" spans="2:7" ht="15" customHeight="1" x14ac:dyDescent="0.45">
      <c r="B99" s="18"/>
      <c r="C99" s="1" t="s">
        <v>238</v>
      </c>
      <c r="D99" s="14" t="s">
        <v>17</v>
      </c>
      <c r="E99" s="14" t="s">
        <v>17</v>
      </c>
      <c r="F99" t="s">
        <v>239</v>
      </c>
      <c r="G99" t="s">
        <v>240</v>
      </c>
    </row>
    <row r="100" spans="2:7" ht="15" customHeight="1" x14ac:dyDescent="0.45">
      <c r="B100" s="18"/>
      <c r="C100" s="1" t="s">
        <v>241</v>
      </c>
      <c r="D100" s="14" t="s">
        <v>17</v>
      </c>
      <c r="E100" s="14" t="s">
        <v>18</v>
      </c>
      <c r="F100" t="s">
        <v>242</v>
      </c>
      <c r="G100" t="s">
        <v>243</v>
      </c>
    </row>
    <row r="101" spans="2:7" ht="15" customHeight="1" x14ac:dyDescent="0.45">
      <c r="B101" s="18"/>
      <c r="C101" s="1" t="s">
        <v>244</v>
      </c>
      <c r="D101" s="14" t="s">
        <v>17</v>
      </c>
      <c r="E101" s="14" t="s">
        <v>18</v>
      </c>
      <c r="F101" t="s">
        <v>245</v>
      </c>
      <c r="G101" t="s">
        <v>246</v>
      </c>
    </row>
    <row r="102" spans="2:7" ht="15" customHeight="1" x14ac:dyDescent="0.45">
      <c r="B102" s="18"/>
      <c r="C102" s="1" t="s">
        <v>247</v>
      </c>
      <c r="D102" s="14" t="s">
        <v>17</v>
      </c>
      <c r="E102" s="14" t="s">
        <v>18</v>
      </c>
      <c r="F102" t="s">
        <v>248</v>
      </c>
      <c r="G102" t="s">
        <v>249</v>
      </c>
    </row>
    <row r="103" spans="2:7" ht="15" customHeight="1" x14ac:dyDescent="0.45">
      <c r="B103" s="18"/>
      <c r="C103" s="1" t="s">
        <v>250</v>
      </c>
      <c r="D103" s="14" t="s">
        <v>17</v>
      </c>
      <c r="E103" s="14" t="s">
        <v>18</v>
      </c>
      <c r="F103" t="s">
        <v>251</v>
      </c>
      <c r="G103" t="s">
        <v>252</v>
      </c>
    </row>
    <row r="104" spans="2:7" ht="15" customHeight="1" x14ac:dyDescent="0.45">
      <c r="B104" s="18"/>
      <c r="C104" s="1" t="s">
        <v>253</v>
      </c>
      <c r="D104" s="14" t="s">
        <v>17</v>
      </c>
      <c r="E104" s="14" t="s">
        <v>18</v>
      </c>
      <c r="F104" t="s">
        <v>254</v>
      </c>
      <c r="G104" t="s">
        <v>255</v>
      </c>
    </row>
    <row r="105" spans="2:7" ht="15" customHeight="1" x14ac:dyDescent="0.45">
      <c r="B105" s="18"/>
      <c r="C105" s="1" t="s">
        <v>256</v>
      </c>
      <c r="D105" s="14" t="s">
        <v>17</v>
      </c>
      <c r="E105" s="14" t="s">
        <v>17</v>
      </c>
      <c r="F105" t="s">
        <v>257</v>
      </c>
      <c r="G105" t="s">
        <v>258</v>
      </c>
    </row>
    <row r="106" spans="2:7" ht="15" customHeight="1" x14ac:dyDescent="0.45">
      <c r="B106" s="18"/>
      <c r="C106" s="1" t="s">
        <v>259</v>
      </c>
      <c r="D106" s="14" t="s">
        <v>17</v>
      </c>
      <c r="E106" s="14" t="s">
        <v>18</v>
      </c>
      <c r="F106" t="s">
        <v>260</v>
      </c>
      <c r="G106" t="s">
        <v>261</v>
      </c>
    </row>
    <row r="107" spans="2:7" ht="15" customHeight="1" x14ac:dyDescent="0.45">
      <c r="B107" s="18"/>
      <c r="C107" s="1" t="s">
        <v>262</v>
      </c>
      <c r="D107" s="14" t="s">
        <v>17</v>
      </c>
      <c r="E107" s="14" t="s">
        <v>17</v>
      </c>
      <c r="F107" t="s">
        <v>263</v>
      </c>
      <c r="G107" t="s">
        <v>264</v>
      </c>
    </row>
    <row r="108" spans="2:7" ht="15" customHeight="1" x14ac:dyDescent="0.45">
      <c r="B108" s="18"/>
      <c r="C108" s="1" t="s">
        <v>265</v>
      </c>
      <c r="D108" s="14" t="s">
        <v>17</v>
      </c>
      <c r="E108" s="14" t="s">
        <v>17</v>
      </c>
      <c r="F108" t="s">
        <v>266</v>
      </c>
      <c r="G108" t="s">
        <v>267</v>
      </c>
    </row>
    <row r="109" spans="2:7" ht="15" customHeight="1" x14ac:dyDescent="0.45">
      <c r="B109" s="18"/>
      <c r="C109" s="1" t="s">
        <v>268</v>
      </c>
      <c r="D109" s="14" t="s">
        <v>17</v>
      </c>
      <c r="E109" s="14" t="s">
        <v>18</v>
      </c>
      <c r="F109" t="s">
        <v>269</v>
      </c>
      <c r="G109" t="s">
        <v>270</v>
      </c>
    </row>
    <row r="110" spans="2:7" ht="15" customHeight="1" x14ac:dyDescent="0.45">
      <c r="B110" s="18"/>
      <c r="C110" s="1" t="s">
        <v>271</v>
      </c>
      <c r="D110" s="14" t="s">
        <v>17</v>
      </c>
      <c r="E110" s="14" t="s">
        <v>18</v>
      </c>
      <c r="F110" t="s">
        <v>272</v>
      </c>
      <c r="G110" t="s">
        <v>273</v>
      </c>
    </row>
    <row r="111" spans="2:7" ht="15" customHeight="1" x14ac:dyDescent="0.45">
      <c r="B111" s="18"/>
      <c r="C111" s="1" t="s">
        <v>274</v>
      </c>
      <c r="D111" s="14" t="s">
        <v>17</v>
      </c>
      <c r="E111" s="14" t="s">
        <v>17</v>
      </c>
      <c r="F111" t="s">
        <v>275</v>
      </c>
      <c r="G111" t="s">
        <v>276</v>
      </c>
    </row>
    <row r="112" spans="2:7" ht="15" customHeight="1" x14ac:dyDescent="0.45">
      <c r="B112" s="18"/>
      <c r="C112" s="1" t="s">
        <v>277</v>
      </c>
      <c r="D112" s="14" t="s">
        <v>17</v>
      </c>
      <c r="E112" s="14" t="s">
        <v>17</v>
      </c>
      <c r="F112" t="s">
        <v>278</v>
      </c>
      <c r="G112" t="s">
        <v>279</v>
      </c>
    </row>
    <row r="113" spans="2:7" ht="15" customHeight="1" x14ac:dyDescent="0.45">
      <c r="B113" s="18"/>
      <c r="C113" s="1" t="s">
        <v>280</v>
      </c>
      <c r="D113" s="14" t="s">
        <v>17</v>
      </c>
      <c r="E113" s="14" t="s">
        <v>18</v>
      </c>
      <c r="F113" t="s">
        <v>281</v>
      </c>
      <c r="G113" t="s">
        <v>282</v>
      </c>
    </row>
    <row r="114" spans="2:7" ht="15" customHeight="1" x14ac:dyDescent="0.45">
      <c r="B114" s="18"/>
      <c r="C114" s="1" t="s">
        <v>283</v>
      </c>
      <c r="D114" s="14" t="s">
        <v>17</v>
      </c>
      <c r="E114" s="14" t="s">
        <v>18</v>
      </c>
      <c r="F114" t="s">
        <v>284</v>
      </c>
      <c r="G114" t="s">
        <v>285</v>
      </c>
    </row>
    <row r="115" spans="2:7" ht="15" customHeight="1" x14ac:dyDescent="0.45">
      <c r="B115" s="18"/>
      <c r="C115" s="1" t="s">
        <v>286</v>
      </c>
      <c r="D115" s="14" t="s">
        <v>17</v>
      </c>
      <c r="E115" s="14" t="s">
        <v>17</v>
      </c>
      <c r="F115" t="s">
        <v>287</v>
      </c>
      <c r="G115" t="s">
        <v>288</v>
      </c>
    </row>
    <row r="116" spans="2:7" ht="15" customHeight="1" x14ac:dyDescent="0.45">
      <c r="C116" s="1" t="s">
        <v>289</v>
      </c>
      <c r="D116" s="14" t="s">
        <v>17</v>
      </c>
      <c r="E116" s="14" t="s">
        <v>18</v>
      </c>
      <c r="F116" t="s">
        <v>290</v>
      </c>
      <c r="G116" t="s">
        <v>291</v>
      </c>
    </row>
    <row r="117" spans="2:7" ht="15" customHeight="1" x14ac:dyDescent="0.45">
      <c r="C117" s="1" t="s">
        <v>292</v>
      </c>
      <c r="D117" s="14" t="s">
        <v>17</v>
      </c>
      <c r="E117" s="14" t="s">
        <v>18</v>
      </c>
      <c r="F117" t="s">
        <v>293</v>
      </c>
      <c r="G117" t="s">
        <v>294</v>
      </c>
    </row>
    <row r="118" spans="2:7" ht="15" customHeight="1" x14ac:dyDescent="0.45">
      <c r="C118" s="1" t="s">
        <v>295</v>
      </c>
      <c r="D118" s="14" t="s">
        <v>17</v>
      </c>
      <c r="E118" s="14" t="s">
        <v>18</v>
      </c>
      <c r="F118" t="s">
        <v>296</v>
      </c>
      <c r="G118" t="s">
        <v>297</v>
      </c>
    </row>
    <row r="119" spans="2:7" ht="15" customHeight="1" x14ac:dyDescent="0.45">
      <c r="C119" s="1" t="s">
        <v>298</v>
      </c>
      <c r="D119" s="14" t="s">
        <v>17</v>
      </c>
      <c r="E119" s="14" t="s">
        <v>17</v>
      </c>
      <c r="F119" t="s">
        <v>299</v>
      </c>
      <c r="G119" t="s">
        <v>300</v>
      </c>
    </row>
    <row r="121" spans="2:7" ht="14.1" x14ac:dyDescent="0.45">
      <c r="B121" s="13"/>
      <c r="C121" s="15" t="s">
        <v>129</v>
      </c>
      <c r="D121" s="16">
        <f>+COUNTIF(D86:D119,"Yes")</f>
        <v>34</v>
      </c>
      <c r="E121" s="16">
        <f>+COUNTIF(E86:E119,"Yes")</f>
        <v>13</v>
      </c>
      <c r="F121" s="13"/>
      <c r="G121" s="13"/>
    </row>
  </sheetData>
  <dataValidations count="1">
    <dataValidation type="list" showInputMessage="1" showErrorMessage="1" sqref="D15:E51 D56:E63 D68:E81 D86:E119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78" footer="0.31496062992125978"/>
  <pageSetup paperSize="9" scale="64" fitToHeight="0" orientation="landscape" horizontalDpi="1200" verticalDpi="1200"/>
  <headerFooter>
    <oddFooter>&amp;L&amp;D&amp;CPage &amp;P of &amp;N&amp;R[Insert classification]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44"/>
  <sheetViews>
    <sheetView showGridLines="0" tabSelected="1" zoomScaleNormal="100" workbookViewId="0"/>
  </sheetViews>
  <sheetFormatPr defaultColWidth="9.140625" defaultRowHeight="13.8" x14ac:dyDescent="0.45"/>
  <cols>
    <col min="1" max="1" width="2.85546875" style="2" customWidth="1"/>
    <col min="2" max="2" width="65.7109375" style="2" customWidth="1"/>
    <col min="3" max="6" width="15.7109375" style="2" customWidth="1"/>
    <col min="7" max="7" width="18.7109375" style="2" customWidth="1"/>
    <col min="8" max="8" width="5.7109375" style="2" customWidth="1"/>
    <col min="9" max="9" width="9.140625" style="2" customWidth="1"/>
    <col min="10" max="16384" width="9.140625" style="2"/>
  </cols>
  <sheetData>
    <row r="2" spans="2:34" x14ac:dyDescent="0.45">
      <c r="B2" s="3"/>
    </row>
    <row r="3" spans="2:34" x14ac:dyDescent="0.45">
      <c r="B3" s="3"/>
    </row>
    <row r="4" spans="2:34" x14ac:dyDescent="0.45">
      <c r="B4" s="3"/>
    </row>
    <row r="5" spans="2:34" x14ac:dyDescent="0.45">
      <c r="B5" s="3"/>
    </row>
    <row r="6" spans="2:34" x14ac:dyDescent="0.45">
      <c r="B6" s="3"/>
    </row>
    <row r="7" spans="2:34" x14ac:dyDescent="0.45">
      <c r="B7" s="3"/>
    </row>
    <row r="8" spans="2:34" ht="21" customHeight="1" x14ac:dyDescent="0.7">
      <c r="B8" s="56" t="s">
        <v>301</v>
      </c>
      <c r="AA8" s="31"/>
      <c r="AB8" s="31"/>
      <c r="AC8" s="31"/>
      <c r="AD8" s="31"/>
      <c r="AE8" s="31"/>
      <c r="AF8" s="31"/>
      <c r="AG8" s="31"/>
      <c r="AH8" s="31"/>
    </row>
    <row r="9" spans="2:34" ht="15.75" customHeight="1" x14ac:dyDescent="0.45">
      <c r="B9" s="57" t="s">
        <v>302</v>
      </c>
    </row>
    <row r="10" spans="2:34" x14ac:dyDescent="0.45">
      <c r="B10" s="3"/>
    </row>
    <row r="11" spans="2:34" ht="22" customHeight="1" x14ac:dyDescent="0.45">
      <c r="B11" s="58" t="s">
        <v>303</v>
      </c>
      <c r="C11" s="32"/>
      <c r="E11" s="32"/>
      <c r="F11" s="32"/>
    </row>
    <row r="12" spans="2:34" x14ac:dyDescent="0.45">
      <c r="B12" s="1"/>
    </row>
    <row r="13" spans="2:34" ht="30" customHeight="1" x14ac:dyDescent="0.45">
      <c r="B13" s="20" t="s">
        <v>304</v>
      </c>
      <c r="C13" s="21" t="s">
        <v>305</v>
      </c>
      <c r="D13" s="21" t="s">
        <v>306</v>
      </c>
      <c r="E13" s="21" t="s">
        <v>307</v>
      </c>
      <c r="F13" s="21" t="s">
        <v>308</v>
      </c>
      <c r="G13" s="21" t="s">
        <v>309</v>
      </c>
      <c r="H13" s="21"/>
      <c r="I13" s="33" t="s">
        <v>310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2:34" x14ac:dyDescent="0.45">
      <c r="B14" s="12" t="s">
        <v>15</v>
      </c>
      <c r="C14" s="17">
        <v>37</v>
      </c>
      <c r="D14" s="25">
        <f>'ISO27001 Annex A Applicability'!D53</f>
        <v>37</v>
      </c>
      <c r="E14" s="39">
        <f>ISO27001ApplicabilityTableResults11[[#This Row],[APPLICABLE CONTROLS]]/ISO27001ApplicabilityTableResults11[[#This Row],[NO OF CONTROLS]]</f>
        <v>1</v>
      </c>
      <c r="F14" s="25">
        <f>'ISO27001 Annex A Applicability'!E53</f>
        <v>24</v>
      </c>
      <c r="G14" s="29">
        <f>IF(D14=0,1,+F14/D14)</f>
        <v>0.64864864864864868</v>
      </c>
      <c r="H14" s="29"/>
      <c r="I14" s="29"/>
    </row>
    <row r="15" spans="2:34" x14ac:dyDescent="0.45">
      <c r="B15" s="4" t="s">
        <v>130</v>
      </c>
      <c r="C15" s="17">
        <v>8</v>
      </c>
      <c r="D15" s="25">
        <f>'ISO27001 Annex A Applicability'!D65</f>
        <v>8</v>
      </c>
      <c r="E15" s="39">
        <f>ISO27001ApplicabilityTableResults11[[#This Row],[APPLICABLE CONTROLS]]/ISO27001ApplicabilityTableResults11[[#This Row],[NO OF CONTROLS]]</f>
        <v>1</v>
      </c>
      <c r="F15" s="25">
        <f>'ISO27001 Annex A Applicability'!E65</f>
        <v>6</v>
      </c>
      <c r="G15" s="29">
        <f>IF(D15=0,1,+F15/D15)</f>
        <v>0.75</v>
      </c>
      <c r="H15" s="29"/>
      <c r="I15" s="29"/>
    </row>
    <row r="16" spans="2:34" x14ac:dyDescent="0.45">
      <c r="B16" s="12" t="s">
        <v>155</v>
      </c>
      <c r="C16" s="17">
        <v>14</v>
      </c>
      <c r="D16" s="25">
        <f>'ISO27001 Annex A Applicability'!D83</f>
        <v>14</v>
      </c>
      <c r="E16" s="39">
        <f>ISO27001ApplicabilityTableResults11[[#This Row],[APPLICABLE CONTROLS]]/ISO27001ApplicabilityTableResults11[[#This Row],[NO OF CONTROLS]]</f>
        <v>1</v>
      </c>
      <c r="F16" s="25">
        <f>'ISO27001 Annex A Applicability'!E83</f>
        <v>12</v>
      </c>
      <c r="G16" s="29">
        <f>IF(D16=0,1,+F16/D16)</f>
        <v>0.8571428571428571</v>
      </c>
      <c r="H16" s="29"/>
      <c r="I16" s="29"/>
    </row>
    <row r="17" spans="1:9" x14ac:dyDescent="0.45">
      <c r="B17" s="4" t="s">
        <v>198</v>
      </c>
      <c r="C17" s="17">
        <v>34</v>
      </c>
      <c r="D17" s="25">
        <f>'ISO27001 Annex A Applicability'!D121</f>
        <v>34</v>
      </c>
      <c r="E17" s="39">
        <f>ISO27001ApplicabilityTableResults11[[#This Row],[APPLICABLE CONTROLS]]/ISO27001ApplicabilityTableResults11[[#This Row],[NO OF CONTROLS]]</f>
        <v>1</v>
      </c>
      <c r="F17" s="25">
        <f>'ISO27001 Annex A Applicability'!E121</f>
        <v>13</v>
      </c>
      <c r="G17" s="29">
        <f>IF(D17=0,1,+F17/D17)</f>
        <v>0.38235294117647056</v>
      </c>
      <c r="H17" s="29"/>
      <c r="I17" s="29"/>
    </row>
    <row r="18" spans="1:9" ht="14.1" x14ac:dyDescent="0.45">
      <c r="B18" s="23" t="s">
        <v>311</v>
      </c>
      <c r="C18" s="24">
        <f>SUBTOTAL(109,ISO27001ApplicabilityTableResults11[NO OF CONTROLS])</f>
        <v>93</v>
      </c>
      <c r="D18" s="26">
        <f>SUBTOTAL(109,ISO27001ApplicabilityTableResults11[APPLICABLE CONTROLS])</f>
        <v>93</v>
      </c>
      <c r="E18" s="30">
        <f>SUBTOTAL(101,ISO27001ApplicabilityTableResults11[% CONTROLS APPLICABLE])</f>
        <v>1</v>
      </c>
      <c r="F18" s="26">
        <f>SUBTOTAL(109,ISO27001ApplicabilityTableResults11[CONTROLS IMPLEMENTED])</f>
        <v>55</v>
      </c>
      <c r="G18" s="30">
        <f>SUBTOTAL(101,ISO27001ApplicabilityTableResults11[% APP CONTROLS IMPLEMENTED])</f>
        <v>0.65953611174199411</v>
      </c>
      <c r="H18" s="29"/>
      <c r="I18" s="29"/>
    </row>
    <row r="19" spans="1:9" ht="14.1" x14ac:dyDescent="0.45">
      <c r="B19" s="36"/>
      <c r="C19" s="24"/>
      <c r="D19" s="24"/>
      <c r="E19" s="37"/>
      <c r="F19" s="35"/>
      <c r="H19" s="29"/>
      <c r="I19" s="29"/>
    </row>
    <row r="20" spans="1:9" x14ac:dyDescent="0.45">
      <c r="C20" s="17"/>
      <c r="D20" s="17"/>
      <c r="E20" s="17"/>
      <c r="F20" s="35"/>
      <c r="H20" s="29"/>
      <c r="I20" s="29"/>
    </row>
    <row r="21" spans="1:9" x14ac:dyDescent="0.45">
      <c r="C21" s="17"/>
      <c r="D21" s="17"/>
      <c r="E21" s="17"/>
      <c r="F21" s="35"/>
      <c r="H21" s="29"/>
      <c r="I21" s="29"/>
    </row>
    <row r="22" spans="1:9" ht="18.75" customHeight="1" x14ac:dyDescent="0.45">
      <c r="B22" s="43" t="s">
        <v>312</v>
      </c>
      <c r="C22" s="38"/>
      <c r="D22" s="38"/>
      <c r="E22" s="38"/>
      <c r="F22" s="54"/>
      <c r="G22" s="34"/>
      <c r="H22" s="29"/>
      <c r="I22" s="29"/>
    </row>
    <row r="23" spans="1:9" x14ac:dyDescent="0.45">
      <c r="C23" s="17"/>
      <c r="D23" s="17"/>
      <c r="E23" s="17"/>
      <c r="F23" s="35"/>
      <c r="H23" s="29"/>
      <c r="I23" s="29"/>
    </row>
    <row r="24" spans="1:9" x14ac:dyDescent="0.45">
      <c r="H24" s="29"/>
      <c r="I24" s="29"/>
    </row>
    <row r="25" spans="1:9" x14ac:dyDescent="0.45">
      <c r="A25" s="4"/>
      <c r="H25" s="29"/>
      <c r="I25" s="29"/>
    </row>
    <row r="26" spans="1:9" x14ac:dyDescent="0.45">
      <c r="A26" s="4"/>
      <c r="H26" s="29"/>
      <c r="I26" s="29"/>
    </row>
    <row r="27" spans="1:9" x14ac:dyDescent="0.45">
      <c r="H27" s="29"/>
      <c r="I27" s="29"/>
    </row>
    <row r="28" spans="1:9" ht="14.1" x14ac:dyDescent="0.45">
      <c r="H28" s="30"/>
      <c r="I28" s="30"/>
    </row>
    <row r="32" spans="1:9" ht="22" customHeight="1" x14ac:dyDescent="0.45"/>
    <row r="38" spans="8:26" ht="18.75" customHeight="1" x14ac:dyDescent="0.45">
      <c r="I38" s="33" t="s">
        <v>313</v>
      </c>
      <c r="J38" s="34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34"/>
      <c r="X38" s="34"/>
      <c r="Y38" s="34"/>
      <c r="Z38" s="34"/>
    </row>
    <row r="44" spans="8:26" ht="20.100000000000001" customHeight="1" x14ac:dyDescent="0.45">
      <c r="H44" s="53"/>
      <c r="I44" s="53"/>
      <c r="J44" s="55"/>
      <c r="K44" s="53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</sheetData>
  <pageMargins left="0.23622047244094491" right="0.23622047244094491" top="0.39370078740157483" bottom="0.39370078740157483" header="0.19685039370078741" footer="0.19685039370078741"/>
  <pageSetup paperSize="9" scale="43" orientation="landscape" horizontalDpi="360" verticalDpi="36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11"/>
  <sheetViews>
    <sheetView showGridLines="0" workbookViewId="0"/>
  </sheetViews>
  <sheetFormatPr defaultColWidth="9.140625" defaultRowHeight="13.8" x14ac:dyDescent="0.45"/>
  <cols>
    <col min="1" max="1" width="2.85546875" style="20" customWidth="1"/>
    <col min="2" max="2" width="67.140625" style="20" customWidth="1"/>
    <col min="3" max="4" width="12.7109375" style="25" customWidth="1"/>
    <col min="5" max="5" width="12.7109375" style="21" customWidth="1"/>
    <col min="6" max="6" width="14.7109375" style="25" customWidth="1"/>
    <col min="7" max="7" width="19.28515625" style="25" customWidth="1"/>
    <col min="8" max="8" width="9.140625" style="20" customWidth="1"/>
    <col min="9" max="16384" width="9.140625" style="20"/>
  </cols>
  <sheetData>
    <row r="4" spans="2:7" ht="18.75" customHeight="1" x14ac:dyDescent="0.45">
      <c r="B4" s="22" t="s">
        <v>314</v>
      </c>
    </row>
    <row r="6" spans="2:7" ht="30" customHeight="1" x14ac:dyDescent="0.45">
      <c r="B6" s="20" t="s">
        <v>304</v>
      </c>
      <c r="C6" s="21" t="s">
        <v>305</v>
      </c>
      <c r="D6" s="21" t="s">
        <v>306</v>
      </c>
      <c r="E6" s="21" t="s">
        <v>307</v>
      </c>
      <c r="F6" s="21" t="s">
        <v>308</v>
      </c>
      <c r="G6" s="21" t="s">
        <v>309</v>
      </c>
    </row>
    <row r="7" spans="2:7" x14ac:dyDescent="0.45">
      <c r="B7" s="12" t="s">
        <v>15</v>
      </c>
      <c r="C7" s="17">
        <v>37</v>
      </c>
      <c r="D7" s="25">
        <f>'ISO27001 Annex A Applicability'!D53</f>
        <v>37</v>
      </c>
      <c r="E7" s="27">
        <f>ISO27001ApplicabilityTableResults[[#This Row],[APPLICABLE CONTROLS]]/ISO27001ApplicabilityTableResults[[#This Row],[NO OF CONTROLS]]</f>
        <v>1</v>
      </c>
      <c r="F7" s="25">
        <f>'ISO27001 Annex A Applicability'!E53</f>
        <v>24</v>
      </c>
      <c r="G7" s="29">
        <f>IF(D7=0,1,+F7/D7)</f>
        <v>0.64864864864864868</v>
      </c>
    </row>
    <row r="8" spans="2:7" x14ac:dyDescent="0.45">
      <c r="B8" s="4" t="s">
        <v>130</v>
      </c>
      <c r="C8" s="17">
        <v>8</v>
      </c>
      <c r="D8" s="25">
        <f>'ISO27001 Annex A Applicability'!D65</f>
        <v>8</v>
      </c>
      <c r="E8" s="27">
        <f>ISO27001ApplicabilityTableResults[[#This Row],[APPLICABLE CONTROLS]]/ISO27001ApplicabilityTableResults[[#This Row],[NO OF CONTROLS]]</f>
        <v>1</v>
      </c>
      <c r="F8" s="25">
        <f>'ISO27001 Annex A Applicability'!E65</f>
        <v>6</v>
      </c>
      <c r="G8" s="29">
        <f>IF(D8=0,1,+F8/D8)</f>
        <v>0.75</v>
      </c>
    </row>
    <row r="9" spans="2:7" x14ac:dyDescent="0.45">
      <c r="B9" s="12" t="s">
        <v>155</v>
      </c>
      <c r="C9" s="17">
        <v>14</v>
      </c>
      <c r="D9" s="25">
        <f>'ISO27001 Annex A Applicability'!D83</f>
        <v>14</v>
      </c>
      <c r="E9" s="27">
        <f>ISO27001ApplicabilityTableResults[[#This Row],[APPLICABLE CONTROLS]]/ISO27001ApplicabilityTableResults[[#This Row],[NO OF CONTROLS]]</f>
        <v>1</v>
      </c>
      <c r="F9" s="25">
        <f>'ISO27001 Annex A Applicability'!E83</f>
        <v>12</v>
      </c>
      <c r="G9" s="29">
        <f>IF(D9=0,1,+F9/D9)</f>
        <v>0.8571428571428571</v>
      </c>
    </row>
    <row r="10" spans="2:7" x14ac:dyDescent="0.45">
      <c r="B10" s="4" t="s">
        <v>198</v>
      </c>
      <c r="C10" s="17">
        <v>34</v>
      </c>
      <c r="D10" s="25">
        <f>'ISO27001 Annex A Applicability'!D121</f>
        <v>34</v>
      </c>
      <c r="E10" s="27">
        <f>ISO27001ApplicabilityTableResults[[#This Row],[APPLICABLE CONTROLS]]/ISO27001ApplicabilityTableResults[[#This Row],[NO OF CONTROLS]]</f>
        <v>1</v>
      </c>
      <c r="F10" s="25">
        <f>'ISO27001 Annex A Applicability'!E121</f>
        <v>13</v>
      </c>
      <c r="G10" s="29">
        <f>IF(D10=0,1,+F10/D10)</f>
        <v>0.38235294117647056</v>
      </c>
    </row>
    <row r="11" spans="2:7" ht="14.1" x14ac:dyDescent="0.45">
      <c r="B11" s="23" t="s">
        <v>311</v>
      </c>
      <c r="C11" s="24">
        <f>SUBTOTAL(109,ISO27001ApplicabilityTableResults[NO OF CONTROLS])</f>
        <v>93</v>
      </c>
      <c r="D11" s="26">
        <f>SUBTOTAL(109,ISO27001ApplicabilityTableResults[APPLICABLE CONTROLS])</f>
        <v>93</v>
      </c>
      <c r="E11" s="28">
        <f>SUBTOTAL(101,ISO27001ApplicabilityTableResults[% CONTROLS APPLICABLE])</f>
        <v>1</v>
      </c>
      <c r="F11" s="26">
        <f>SUBTOTAL(109,ISO27001ApplicabilityTableResults[CONTROLS IMPLEMENTED])</f>
        <v>55</v>
      </c>
      <c r="G11" s="30">
        <f>SUBTOTAL(101,ISO27001ApplicabilityTableResults[% APP CONTROLS IMPLEMENTED])</f>
        <v>0.65953611174199411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E10"/>
  <sheetViews>
    <sheetView showGridLines="0" workbookViewId="0"/>
  </sheetViews>
  <sheetFormatPr defaultColWidth="9.140625" defaultRowHeight="13.8" x14ac:dyDescent="0.45"/>
  <cols>
    <col min="1" max="1" width="2.85546875" style="20" customWidth="1"/>
    <col min="2" max="2" width="25.140625" style="20" bestFit="1" customWidth="1"/>
    <col min="3" max="3" width="22.140625" style="42" bestFit="1" customWidth="1"/>
    <col min="4" max="5" width="24.7109375" style="42" bestFit="1" customWidth="1"/>
    <col min="6" max="30" width="64.140625" style="20" bestFit="1" customWidth="1"/>
    <col min="31" max="31" width="9.140625" style="20" customWidth="1"/>
    <col min="32" max="16384" width="9.140625" style="20"/>
  </cols>
  <sheetData>
    <row r="4" spans="2:4" ht="18.75" customHeight="1" x14ac:dyDescent="0.45">
      <c r="B4" s="22" t="s">
        <v>315</v>
      </c>
    </row>
    <row r="6" spans="2:4" x14ac:dyDescent="0.45">
      <c r="B6" s="41" t="s">
        <v>304</v>
      </c>
      <c r="C6" s="41" t="s">
        <v>316</v>
      </c>
      <c r="D6" s="41" t="s">
        <v>317</v>
      </c>
    </row>
    <row r="7" spans="2:4" x14ac:dyDescent="0.45">
      <c r="B7" s="20" t="s">
        <v>198</v>
      </c>
      <c r="C7" s="42">
        <v>34</v>
      </c>
      <c r="D7" s="42">
        <v>34</v>
      </c>
    </row>
    <row r="8" spans="2:4" x14ac:dyDescent="0.45">
      <c r="B8" s="20" t="s">
        <v>155</v>
      </c>
      <c r="C8" s="42">
        <v>14</v>
      </c>
      <c r="D8" s="42">
        <v>14</v>
      </c>
    </row>
    <row r="9" spans="2:4" x14ac:dyDescent="0.45">
      <c r="B9" s="20" t="s">
        <v>130</v>
      </c>
      <c r="C9" s="42">
        <v>8</v>
      </c>
      <c r="D9" s="42">
        <v>8</v>
      </c>
    </row>
    <row r="10" spans="2:4" x14ac:dyDescent="0.45">
      <c r="B10" s="20" t="s">
        <v>15</v>
      </c>
      <c r="C10" s="42">
        <v>37</v>
      </c>
      <c r="D10" s="42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20"/>
  <sheetViews>
    <sheetView showGridLines="0" workbookViewId="0"/>
  </sheetViews>
  <sheetFormatPr defaultRowHeight="14.25" customHeight="1" x14ac:dyDescent="0.45"/>
  <cols>
    <col min="1" max="1" width="2.85546875" customWidth="1"/>
    <col min="2" max="2" width="25.140625" bestFit="1" customWidth="1"/>
    <col min="3" max="3" width="14.140625" style="44" bestFit="1" customWidth="1"/>
    <col min="4" max="4" width="12.42578125" style="44" bestFit="1" customWidth="1"/>
  </cols>
  <sheetData>
    <row r="1" spans="2:4" s="46" customFormat="1" ht="14.25" customHeight="1" x14ac:dyDescent="0.45">
      <c r="C1" s="47"/>
      <c r="D1" s="47"/>
    </row>
    <row r="2" spans="2:4" s="46" customFormat="1" ht="14.25" customHeight="1" x14ac:dyDescent="0.45">
      <c r="C2" s="47"/>
      <c r="D2" s="47"/>
    </row>
    <row r="3" spans="2:4" s="46" customFormat="1" ht="14.25" customHeight="1" x14ac:dyDescent="0.45">
      <c r="C3" s="47"/>
      <c r="D3" s="47"/>
    </row>
    <row r="4" spans="2:4" s="46" customFormat="1" ht="14.25" customHeight="1" x14ac:dyDescent="0.45">
      <c r="B4" s="48" t="s">
        <v>318</v>
      </c>
      <c r="C4" s="47"/>
      <c r="D4" s="47"/>
    </row>
    <row r="5" spans="2:4" s="46" customFormat="1" ht="14.25" customHeight="1" x14ac:dyDescent="0.45">
      <c r="C5" s="47"/>
      <c r="D5" s="47"/>
    </row>
    <row r="6" spans="2:4" s="46" customFormat="1" ht="45" customHeight="1" x14ac:dyDescent="0.45">
      <c r="B6" s="49" t="s">
        <v>304</v>
      </c>
      <c r="C6" s="50" t="s">
        <v>319</v>
      </c>
      <c r="D6" s="50" t="s">
        <v>320</v>
      </c>
    </row>
    <row r="7" spans="2:4" s="46" customFormat="1" ht="15" customHeight="1" x14ac:dyDescent="0.45">
      <c r="B7" s="46" t="s">
        <v>15</v>
      </c>
      <c r="C7" s="51">
        <v>1</v>
      </c>
      <c r="D7" s="51">
        <v>1</v>
      </c>
    </row>
    <row r="8" spans="2:4" s="46" customFormat="1" ht="15" customHeight="1" x14ac:dyDescent="0.45">
      <c r="B8" s="46" t="s">
        <v>130</v>
      </c>
      <c r="C8" s="51">
        <v>1</v>
      </c>
      <c r="D8" s="51">
        <v>1</v>
      </c>
    </row>
    <row r="9" spans="2:4" s="46" customFormat="1" ht="15" customHeight="1" x14ac:dyDescent="0.45">
      <c r="B9" s="46" t="s">
        <v>155</v>
      </c>
      <c r="C9" s="51">
        <v>1</v>
      </c>
      <c r="D9" s="51">
        <v>1</v>
      </c>
    </row>
    <row r="10" spans="2:4" s="46" customFormat="1" ht="15" customHeight="1" x14ac:dyDescent="0.45">
      <c r="B10" s="46" t="s">
        <v>198</v>
      </c>
      <c r="C10" s="51">
        <v>1</v>
      </c>
      <c r="D10" s="51">
        <v>1</v>
      </c>
    </row>
    <row r="11" spans="2:4" s="46" customFormat="1" ht="15" customHeight="1" x14ac:dyDescent="0.45"/>
    <row r="12" spans="2:4" s="46" customFormat="1" ht="15" customHeight="1" x14ac:dyDescent="0.45"/>
    <row r="13" spans="2:4" s="46" customFormat="1" ht="15" customHeight="1" x14ac:dyDescent="0.45"/>
    <row r="14" spans="2:4" s="46" customFormat="1" ht="15" customHeight="1" x14ac:dyDescent="0.45"/>
    <row r="15" spans="2:4" s="46" customFormat="1" ht="15" customHeight="1" x14ac:dyDescent="0.45"/>
    <row r="16" spans="2:4" s="46" customFormat="1" ht="15" customHeight="1" x14ac:dyDescent="0.45"/>
    <row r="17" s="46" customFormat="1" ht="15" customHeight="1" x14ac:dyDescent="0.45"/>
    <row r="18" s="46" customFormat="1" ht="15" customHeight="1" x14ac:dyDescent="0.45"/>
    <row r="19" s="46" customFormat="1" ht="15" customHeight="1" x14ac:dyDescent="0.45"/>
    <row r="20" s="46" customFormat="1" ht="15" customHeight="1" x14ac:dyDescent="0.4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D10"/>
  <sheetViews>
    <sheetView showGridLines="0" workbookViewId="0"/>
  </sheetViews>
  <sheetFormatPr defaultColWidth="9.140625" defaultRowHeight="13.8" x14ac:dyDescent="0.45"/>
  <cols>
    <col min="1" max="1" width="2.85546875" style="46" customWidth="1"/>
    <col min="2" max="2" width="25.140625" style="46" bestFit="1" customWidth="1"/>
    <col min="3" max="3" width="16.5703125" style="46" bestFit="1" customWidth="1"/>
    <col min="4" max="4" width="12.42578125" style="46" bestFit="1" customWidth="1"/>
    <col min="5" max="5" width="9.140625" style="46" customWidth="1"/>
    <col min="6" max="16384" width="9.140625" style="46"/>
  </cols>
  <sheetData>
    <row r="4" spans="2:4" ht="18.75" customHeight="1" x14ac:dyDescent="0.45">
      <c r="B4" s="48" t="s">
        <v>321</v>
      </c>
    </row>
    <row r="6" spans="2:4" ht="30" customHeight="1" x14ac:dyDescent="0.45">
      <c r="B6" s="41" t="s">
        <v>304</v>
      </c>
      <c r="C6" s="45" t="s">
        <v>319</v>
      </c>
      <c r="D6" s="45" t="s">
        <v>320</v>
      </c>
    </row>
    <row r="7" spans="2:4" x14ac:dyDescent="0.45">
      <c r="B7" s="46" t="s">
        <v>15</v>
      </c>
      <c r="C7" s="52">
        <v>1</v>
      </c>
      <c r="D7" s="52">
        <v>1</v>
      </c>
    </row>
    <row r="8" spans="2:4" x14ac:dyDescent="0.45">
      <c r="B8" s="46" t="s">
        <v>130</v>
      </c>
      <c r="C8" s="52">
        <v>1</v>
      </c>
      <c r="D8" s="52">
        <v>1</v>
      </c>
    </row>
    <row r="9" spans="2:4" x14ac:dyDescent="0.45">
      <c r="B9" s="46" t="s">
        <v>155</v>
      </c>
      <c r="C9" s="52">
        <v>1</v>
      </c>
      <c r="D9" s="52">
        <v>1</v>
      </c>
    </row>
    <row r="10" spans="2:4" x14ac:dyDescent="0.45">
      <c r="B10" s="46" t="s">
        <v>198</v>
      </c>
      <c r="C10" s="52">
        <v>1</v>
      </c>
      <c r="D10" s="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Version</vt:lpstr>
      <vt:lpstr>ISO27001 Annex A Applicability</vt:lpstr>
      <vt:lpstr>ISO27001 Annex A Dashboard</vt:lpstr>
      <vt:lpstr>ISO27001 Applicability Table</vt:lpstr>
      <vt:lpstr>ISO27001 Results Chart</vt:lpstr>
      <vt:lpstr>ISO27001 % Results Chart</vt:lpstr>
      <vt:lpstr>ISO27001 % Radar Chart</vt:lpstr>
      <vt:lpstr>'ISO27001 Annex A Applicability'!Print_Titles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CertiKit ISO27001 Toolkit</dc:title>
  <dc:creator>Copyright CertiKit</dc:creator>
  <cp:lastModifiedBy>brilliantarrukbah@gmail.com</cp:lastModifiedBy>
  <cp:lastPrinted>2021-04-08T15:51:17Z</cp:lastPrinted>
  <dcterms:created xsi:type="dcterms:W3CDTF">2015-06-05T18:17:20Z</dcterms:created>
  <dcterms:modified xsi:type="dcterms:W3CDTF">2026-09-12T18:39:01Z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0x010100DA843292D49187418BD21D9C97EA6F65</vt:lpwstr>
  </property>
  <property fmtid="{D5CDD505-2E9C-101B-9397-08002B2CF9AE}" pid="3" name="Order">
    <vt:r8>1359100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